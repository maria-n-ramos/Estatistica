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ad91a707f93f0/Documents/"/>
    </mc:Choice>
  </mc:AlternateContent>
  <xr:revisionPtr revIDLastSave="45" documentId="8_{51A0C040-8235-4B51-B816-1482CD7298B6}" xr6:coauthVersionLast="47" xr6:coauthVersionMax="47" xr10:uidLastSave="{A1229457-15B5-44E4-B673-4AF47B04A52F}"/>
  <bookViews>
    <workbookView xWindow="-105" yWindow="0" windowWidth="14610" windowHeight="15585" firstSheet="2" activeTab="4" xr2:uid="{7F63A08D-FAF9-436C-B6E1-9B0889EBD6FD}"/>
  </bookViews>
  <sheets>
    <sheet name="Microrregiao_Triângulo" sheetId="2" r:id="rId1"/>
    <sheet name="Microrregiao_Rio_Negro_e_Solimõ" sheetId="3" r:id="rId2"/>
    <sheet name="parte 1" sheetId="7" r:id="rId3"/>
    <sheet name="parte 2" sheetId="1" r:id="rId4"/>
    <sheet name="Planilha1" sheetId="8" r:id="rId5"/>
  </sheets>
  <definedNames>
    <definedName name="DadosExternos_1" localSheetId="1" hidden="1">Microrregiao_Rio_Negro_e_Solimõ!$A$1:$F$9</definedName>
    <definedName name="DadosExternos_1" localSheetId="0" hidden="1">Microrregiao_Triângulo!$A$1:$F$7</definedName>
    <definedName name="DadosExternos_1" localSheetId="2" hidden="1">'parte 1'!$A$1:$H$63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" l="1"/>
  <c r="D95" i="1"/>
  <c r="E95" i="1"/>
  <c r="F95" i="1"/>
  <c r="G95" i="1"/>
  <c r="H95" i="1"/>
  <c r="I95" i="1"/>
  <c r="J95" i="1"/>
  <c r="B95" i="1"/>
  <c r="C87" i="1"/>
  <c r="D87" i="1"/>
  <c r="E87" i="1"/>
  <c r="F87" i="1"/>
  <c r="G87" i="1"/>
  <c r="H87" i="1"/>
  <c r="I87" i="1"/>
  <c r="J87" i="1"/>
  <c r="B87" i="1"/>
  <c r="C71" i="1"/>
  <c r="D71" i="1"/>
  <c r="E71" i="1"/>
  <c r="F71" i="1"/>
  <c r="G71" i="1"/>
  <c r="H71" i="1"/>
  <c r="I71" i="1"/>
  <c r="J71" i="1"/>
  <c r="B71" i="1"/>
  <c r="C59" i="1"/>
  <c r="D59" i="1"/>
  <c r="E59" i="1"/>
  <c r="F59" i="1"/>
  <c r="G59" i="1"/>
  <c r="H59" i="1"/>
  <c r="I59" i="1"/>
  <c r="J59" i="1"/>
  <c r="B59" i="1"/>
  <c r="D45" i="1"/>
  <c r="E45" i="1"/>
  <c r="F45" i="1"/>
  <c r="G45" i="1"/>
  <c r="H45" i="1"/>
  <c r="I45" i="1"/>
  <c r="J45" i="1"/>
  <c r="K45" i="1"/>
  <c r="C45" i="1"/>
  <c r="E36" i="1"/>
  <c r="G36" i="1"/>
  <c r="I36" i="1"/>
  <c r="K36" i="1"/>
  <c r="C36" i="1"/>
  <c r="D22" i="1"/>
  <c r="F22" i="1"/>
  <c r="H22" i="1"/>
  <c r="J22" i="1"/>
  <c r="B22" i="1"/>
  <c r="P23" i="1"/>
  <c r="Q23" i="1"/>
  <c r="R23" i="1"/>
  <c r="S23" i="1"/>
  <c r="T23" i="1"/>
  <c r="U23" i="1"/>
  <c r="V23" i="1"/>
  <c r="W23" i="1"/>
  <c r="O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C721B7-70E1-4DEB-BAA0-B520799947E1}" keepAlive="1" name="Consulta - Dados_Completos" description="Conexão com a consulta 'Dados_Completos' na pasta de trabalho." type="5" refreshedVersion="8" background="1" saveData="1">
    <dbPr connection="Provider=Microsoft.Mashup.OleDb.1;Data Source=$Workbook$;Location=Dados_Completos;Extended Properties=&quot;&quot;" command="SELECT * FROM [Dados_Completos]"/>
  </connection>
  <connection id="2" xr16:uid="{5B882F90-8C93-47E4-82E3-37E49FB86932}" keepAlive="1" name="Consulta - Dados_Completos2" description="Conexão com a consulta 'Dados_Completos2' na pasta de trabalho." type="5" refreshedVersion="0" background="1">
    <dbPr connection="Provider=Microsoft.Mashup.OleDb.1;Data Source=$Workbook$;Location=Dados_Completos2;Extended Properties=&quot;&quot;" command="SELECT * FROM [Dados_Completos2]"/>
  </connection>
  <connection id="3" xr16:uid="{9A13D653-12A2-410D-8953-BDA392714183}" keepAlive="1" name="Consulta - Microrregiao_Médio_Amazonas" description="Conexão com a consulta 'Microrregiao_Médio_Amazonas' na pasta de trabalho." type="5" refreshedVersion="0" background="1">
    <dbPr connection="Provider=Microsoft.Mashup.OleDb.1;Data Source=$Workbook$;Location=Microrregiao_Médio_Amazonas;Extended Properties=&quot;&quot;" command="SELECT * FROM [Microrregiao_Médio_Amazonas]"/>
  </connection>
  <connection id="4" xr16:uid="{20D38A6F-D184-4D84-A8D3-72B7D8CB7F70}" keepAlive="1" name="Consulta - Microrregiao_Purus" description="Conexão com a consulta 'Microrregiao_Purus' na pasta de trabalho." type="5" refreshedVersion="0" background="1">
    <dbPr connection="Provider=Microsoft.Mashup.OleDb.1;Data Source=$Workbook$;Location=Microrregiao_Purus;Extended Properties=&quot;&quot;" command="SELECT * FROM [Microrregiao_Purus]"/>
  </connection>
  <connection id="5" xr16:uid="{551B8367-CA1B-4015-9066-020B1FCB518C}" keepAlive="1" name="Consulta - Microrregiao_Rio_Juruá" description="Conexão com a consulta 'Microrregiao_Rio_Juruá' na pasta de trabalho." type="5" refreshedVersion="0" background="1">
    <dbPr connection="Provider=Microsoft.Mashup.OleDb.1;Data Source=$Workbook$;Location=Microrregiao_Rio_Juruá;Extended Properties=&quot;&quot;" command="SELECT * FROM [Microrregiao_Rio_Juruá]"/>
  </connection>
  <connection id="6" xr16:uid="{AF3CA55B-C499-4FD9-A85D-177521A01083}" keepAlive="1" name="Consulta - Microrregiao_Rio_Negro_e_Solimões" description="Conexão com a consulta 'Microrregiao_Rio_Negro_e_Solimões' na pasta de trabalho." type="5" refreshedVersion="8" background="1" saveData="1">
    <dbPr connection="Provider=Microsoft.Mashup.OleDb.1;Data Source=$Workbook$;Location=Microrregiao_Rio_Negro_e_Solimões;Extended Properties=&quot;&quot;" command="SELECT * FROM [Microrregiao_Rio_Negro_e_Solimões]"/>
  </connection>
  <connection id="7" xr16:uid="{C5A5AA19-BBA8-4563-BDD3-D360515B745B}" keepAlive="1" name="Consulta - Microrregiao_Triângulo" description="Conexão com a consulta 'Microrregiao_Triângulo' na pasta de trabalho." type="5" refreshedVersion="8" background="1" saveData="1">
    <dbPr connection="Provider=Microsoft.Mashup.OleDb.1;Data Source=$Workbook$;Location=Microrregiao_Triângulo;Extended Properties=&quot;&quot;" command="SELECT * FROM [Microrregiao_Triângulo]"/>
  </connection>
</connections>
</file>

<file path=xl/sharedStrings.xml><?xml version="1.0" encoding="utf-8"?>
<sst xmlns="http://schemas.openxmlformats.org/spreadsheetml/2006/main" count="693" uniqueCount="174">
  <si>
    <t>Municipio</t>
  </si>
  <si>
    <t>Area_Territorial_km2</t>
  </si>
  <si>
    <t>Populacao_Estimada_2021</t>
  </si>
  <si>
    <t>Densidade_Demografica_hab_km2_2010</t>
  </si>
  <si>
    <t>IDHM_2010</t>
  </si>
  <si>
    <t>PIB_per_capita_2020</t>
  </si>
  <si>
    <t>Alvarães</t>
  </si>
  <si>
    <t>Japurá</t>
  </si>
  <si>
    <t>Juruá</t>
  </si>
  <si>
    <t>Maraã</t>
  </si>
  <si>
    <t>Tefé</t>
  </si>
  <si>
    <t>Uarini</t>
  </si>
  <si>
    <t>Anamã</t>
  </si>
  <si>
    <t>Anori</t>
  </si>
  <si>
    <t>Beruri</t>
  </si>
  <si>
    <t>Caapiranga</t>
  </si>
  <si>
    <t>Coari</t>
  </si>
  <si>
    <t>Codajás</t>
  </si>
  <si>
    <t>Manacapuru</t>
  </si>
  <si>
    <t>Novo Airão</t>
  </si>
  <si>
    <t>Carauari</t>
  </si>
  <si>
    <t>Eirunepé</t>
  </si>
  <si>
    <t>Envira</t>
  </si>
  <si>
    <t>Guajará</t>
  </si>
  <si>
    <t>Ipixuna</t>
  </si>
  <si>
    <t>Itamarati</t>
  </si>
  <si>
    <t>Boca do Acre</t>
  </si>
  <si>
    <t>Canutama</t>
  </si>
  <si>
    <t>Lábrea</t>
  </si>
  <si>
    <t>Pauini</t>
  </si>
  <si>
    <t>Tapauá</t>
  </si>
  <si>
    <t>Itacoatiara</t>
  </si>
  <si>
    <t>Itapiranga</t>
  </si>
  <si>
    <t>São Sebastião do Uatumã</t>
  </si>
  <si>
    <t>Silves</t>
  </si>
  <si>
    <t>Urucará</t>
  </si>
  <si>
    <t>Urucurituba</t>
  </si>
  <si>
    <t>Microrregiao</t>
  </si>
  <si>
    <t>Column1</t>
  </si>
  <si>
    <t>Triângulo</t>
  </si>
  <si>
    <t/>
  </si>
  <si>
    <t>Amaturá</t>
  </si>
  <si>
    <t>Alto Solimões</t>
  </si>
  <si>
    <t>Rio Negro e Solimões</t>
  </si>
  <si>
    <t>Apuí</t>
  </si>
  <si>
    <t>Madeira</t>
  </si>
  <si>
    <t>Atalaia do Norte</t>
  </si>
  <si>
    <t>Autazes</t>
  </si>
  <si>
    <t>Manaus</t>
  </si>
  <si>
    <t xml:space="preserve"> Entorno e Alto Rio Negro</t>
  </si>
  <si>
    <t>Barcelos</t>
  </si>
  <si>
    <t>Barreirinha</t>
  </si>
  <si>
    <t>Baixo Amazonas</t>
  </si>
  <si>
    <t>Benjamin Constant</t>
  </si>
  <si>
    <t>Boa Vista do Ramos</t>
  </si>
  <si>
    <t>Purus</t>
  </si>
  <si>
    <t>Borba</t>
  </si>
  <si>
    <t>Rio Juruá</t>
  </si>
  <si>
    <t>Careiro</t>
  </si>
  <si>
    <t>Careiro da Várzea</t>
  </si>
  <si>
    <t>Fonte Boa</t>
  </si>
  <si>
    <t>Humaitá</t>
  </si>
  <si>
    <t>Iranduba</t>
  </si>
  <si>
    <t>Médio Amazonas</t>
  </si>
  <si>
    <t>Jutaí</t>
  </si>
  <si>
    <t>Manaquiri</t>
  </si>
  <si>
    <t>Manicoré</t>
  </si>
  <si>
    <t>Maués</t>
  </si>
  <si>
    <t>Nhamundá</t>
  </si>
  <si>
    <t>Nova Olinda do Norte</t>
  </si>
  <si>
    <t>Novo Aripuanã</t>
  </si>
  <si>
    <t>Parintins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</si>
  <si>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</si>
  <si>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</si>
  <si>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</si>
  <si>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</si>
  <si>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</si>
  <si>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</si>
  <si>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Tabatinga</t>
  </si>
  <si>
    <t>Tonantins</t>
  </si>
  <si>
    <t>Município</t>
  </si>
  <si>
    <t>Posto de Saúde</t>
  </si>
  <si>
    <t>UBS</t>
  </si>
  <si>
    <t>Policlínica</t>
  </si>
  <si>
    <t>Hospital Geral</t>
  </si>
  <si>
    <t>Hospital Especializado</t>
  </si>
  <si>
    <t>Unidade Mista</t>
  </si>
  <si>
    <t>Consultório Isolado</t>
  </si>
  <si>
    <t>Unidade Móvel Fluvial</t>
  </si>
  <si>
    <t>Centro de Especialidade</t>
  </si>
  <si>
    <t>-</t>
  </si>
  <si>
    <t xml:space="preserve">Centro de </t>
  </si>
  <si>
    <t>Saúde/UBS</t>
  </si>
  <si>
    <t>Total</t>
  </si>
  <si>
    <t>População</t>
  </si>
  <si>
    <t>Nº eSFSB</t>
  </si>
  <si>
    <t>Cob.</t>
  </si>
  <si>
    <t>Nº EABSB</t>
  </si>
  <si>
    <t>Param.</t>
  </si>
  <si>
    <t>CH</t>
  </si>
  <si>
    <t>Dentista</t>
  </si>
  <si>
    <t>Nº ESFSB</t>
  </si>
  <si>
    <t>equivalent e</t>
  </si>
  <si>
    <t>Estim. Pop. Cob. ESFSB</t>
  </si>
  <si>
    <t>Cobertura ESFSB</t>
  </si>
  <si>
    <t>Estim. Pop. Cob. SB AB</t>
  </si>
  <si>
    <t>Cobertura SB AB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</si>
  <si>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</si>
  <si>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</si>
  <si>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</si>
  <si>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</si>
  <si>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</si>
  <si>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</si>
  <si>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</si>
  <si>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</si>
  <si>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 HA</t>
  </si>
  <si>
    <t>BENJAMIN CONSTANT</t>
  </si>
  <si>
    <t>BERURI</t>
  </si>
  <si>
    <r>
      <t xml:space="preserve">BOA VISTA </t>
    </r>
    <r>
      <rPr>
        <vertAlign val="subscript"/>
        <sz val="16.5"/>
        <color rgb="FF000000"/>
        <rFont val="Times New Roman"/>
        <family val="1"/>
      </rPr>
      <t>19.626</t>
    </r>
  </si>
  <si>
    <t>DO RAMOS</t>
  </si>
  <si>
    <r>
      <t xml:space="preserve">BOCA DO </t>
    </r>
    <r>
      <rPr>
        <vertAlign val="subscript"/>
        <sz val="16.5"/>
        <color rgb="FF000000"/>
        <rFont val="Times New Roman"/>
        <family val="1"/>
      </rPr>
      <t>34.635</t>
    </r>
  </si>
  <si>
    <t>ACRE</t>
  </si>
  <si>
    <t>BORBA 41.748</t>
  </si>
  <si>
    <r>
      <t xml:space="preserve">CAAPIRAN </t>
    </r>
    <r>
      <rPr>
        <vertAlign val="subscript"/>
        <sz val="16.5"/>
        <color rgb="FF000000"/>
        <rFont val="Times New Roman"/>
        <family val="1"/>
      </rPr>
      <t>13.283</t>
    </r>
  </si>
  <si>
    <t>GA</t>
  </si>
  <si>
    <t>CANUTAM 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</si>
  <si>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</si>
  <si>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</si>
  <si>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</si>
  <si>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</si>
  <si>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</si>
  <si>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</si>
  <si>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</si>
  <si>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</t>
  </si>
  <si>
    <t>BOA</t>
  </si>
  <si>
    <t>GUAJARÁ</t>
  </si>
  <si>
    <t>HUMAITÁ</t>
  </si>
  <si>
    <t>IPIXUNA</t>
  </si>
  <si>
    <t>IRANDUBA</t>
  </si>
  <si>
    <t>ITACOATIA RA</t>
  </si>
  <si>
    <t>ITAMARAT I</t>
  </si>
  <si>
    <t>ITAPIRANG A</t>
  </si>
  <si>
    <t>JAPURÁ</t>
  </si>
  <si>
    <t>JURUÁ</t>
  </si>
  <si>
    <t>JUTAÍ</t>
  </si>
  <si>
    <t>LÁBREA</t>
  </si>
  <si>
    <t>MANACAP URU</t>
  </si>
  <si>
    <t>MANAQUIR I</t>
  </si>
  <si>
    <t>MANAUS</t>
  </si>
  <si>
    <t>MANICORÉ</t>
  </si>
  <si>
    <t>MARAÃ</t>
  </si>
  <si>
    <t>MAUÉS</t>
  </si>
  <si>
    <t>NHAMUND Á</t>
  </si>
  <si>
    <t>NOVA OLINDA DO NORTE</t>
  </si>
  <si>
    <t>NOVO AIRÃO</t>
  </si>
  <si>
    <t>NOVO ARIPUANÃ</t>
  </si>
  <si>
    <t>PARINTINS</t>
  </si>
  <si>
    <t>PAUINI</t>
  </si>
  <si>
    <t>PRESIDENT E FIGUEIRED O</t>
  </si>
  <si>
    <t>RIO PRETO DA EVA</t>
  </si>
  <si>
    <t>SANTA ISABEL DO RIO NEGRO</t>
  </si>
  <si>
    <t>SANTO ANTÔNIO DO IÇÁ</t>
  </si>
  <si>
    <t>SÃO GABRIEL DA CACHOEIR A</t>
  </si>
  <si>
    <t>SÃO PAULO</t>
  </si>
  <si>
    <t>DE OLIVENÇA</t>
  </si>
  <si>
    <t>SÃO SEBASTIÃO DO UATUMÃ</t>
  </si>
  <si>
    <t>SILVES</t>
  </si>
  <si>
    <t>TABATING A</t>
  </si>
  <si>
    <t>TAPAUÁ</t>
  </si>
  <si>
    <t>TEFÉ</t>
  </si>
  <si>
    <t>TONANTIN S</t>
  </si>
  <si>
    <t>UARINI</t>
  </si>
  <si>
    <t>URUCARÁ</t>
  </si>
  <si>
    <t>URUCURIT 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</si>
</sst>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4"/>
      <color rgb="FF000000"/>
      <name val="Times New Roman"/>
      <family val="1"/>
    </font>
    <font>
      <vertAlign val="subscript"/>
      <sz val="16.5"/>
      <color rgb="FF000000"/>
      <name val="Times New Roman"/>
      <family val="1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sz val="10"/>
      <color rgb="FF333333"/>
      <name val="Times New Roman"/>
      <family val="1"/>
    </font>
    <font>
      <sz val="9"/>
      <color rgb="FF000000"/>
      <name val="Times New Roman"/>
      <family val="1"/>
    </font>
    <font>
      <sz val="15.5"/>
      <color rgb="FF000000"/>
      <name val="Times New Roman"/>
      <family val="1"/>
    </font>
    <font>
      <sz val="9.5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6E6E6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  <border>
      <left style="medium">
        <color rgb="FFF4F4F4"/>
      </left>
      <right style="medium">
        <color rgb="FFF4F4F4"/>
      </right>
      <top/>
      <bottom/>
      <diagonal/>
    </border>
    <border>
      <left/>
      <right style="medium">
        <color rgb="FFF4F4F4"/>
      </right>
      <top style="medium">
        <color rgb="FFF4F4F4"/>
      </top>
      <bottom/>
      <diagonal/>
    </border>
    <border>
      <left/>
      <right style="medium">
        <color rgb="FFF4F4F4"/>
      </right>
      <top/>
      <bottom/>
      <diagonal/>
    </border>
    <border>
      <left style="medium">
        <color rgb="FFF4F4F4"/>
      </left>
      <right style="medium">
        <color rgb="FFF4F4F4"/>
      </right>
      <top/>
      <bottom style="medium">
        <color rgb="FFF4F4F4"/>
      </bottom>
      <diagonal/>
    </border>
    <border>
      <left/>
      <right style="medium">
        <color rgb="FFF4F4F4"/>
      </right>
      <top/>
      <bottom style="medium">
        <color rgb="FFF4F4F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 wrapText="1"/>
    </xf>
    <xf numFmtId="0" fontId="1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3" fontId="7" fillId="3" borderId="0" xfId="0" applyNumberFormat="1" applyFont="1" applyFill="1" applyAlignment="1">
      <alignment vertical="center" wrapText="1"/>
    </xf>
    <xf numFmtId="10" fontId="7" fillId="3" borderId="0" xfId="0" applyNumberFormat="1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3" fontId="7" fillId="4" borderId="0" xfId="0" applyNumberFormat="1" applyFont="1" applyFill="1" applyAlignment="1">
      <alignment vertical="center" wrapText="1"/>
    </xf>
    <xf numFmtId="10" fontId="7" fillId="4" borderId="0" xfId="0" applyNumberFormat="1" applyFont="1" applyFill="1" applyAlignment="1">
      <alignment vertical="center" wrapText="1"/>
    </xf>
    <xf numFmtId="10" fontId="7" fillId="5" borderId="0" xfId="0" applyNumberFormat="1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3" fontId="7" fillId="5" borderId="0" xfId="0" applyNumberFormat="1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10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3" fontId="7" fillId="3" borderId="10" xfId="0" applyNumberFormat="1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10" fontId="7" fillId="3" borderId="10" xfId="0" applyNumberFormat="1" applyFont="1" applyFill="1" applyBorder="1" applyAlignment="1">
      <alignment vertical="center" wrapText="1"/>
    </xf>
    <xf numFmtId="3" fontId="7" fillId="6" borderId="0" xfId="0" applyNumberFormat="1" applyFont="1" applyFill="1" applyAlignment="1">
      <alignment vertical="center" wrapText="1"/>
    </xf>
    <xf numFmtId="10" fontId="7" fillId="6" borderId="0" xfId="0" applyNumberFormat="1" applyFont="1" applyFill="1" applyAlignment="1">
      <alignment vertical="center" wrapText="1"/>
    </xf>
    <xf numFmtId="10" fontId="12" fillId="6" borderId="0" xfId="0" applyNumberFormat="1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3" fontId="7" fillId="3" borderId="8" xfId="0" applyNumberFormat="1" applyFont="1" applyFill="1" applyBorder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10" fontId="7" fillId="3" borderId="8" xfId="0" applyNumberFormat="1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15" fillId="4" borderId="8" xfId="0" applyFont="1" applyFill="1" applyBorder="1" applyAlignment="1">
      <alignment vertical="center" wrapText="1"/>
    </xf>
    <xf numFmtId="3" fontId="7" fillId="4" borderId="8" xfId="0" applyNumberFormat="1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10" fontId="7" fillId="4" borderId="8" xfId="0" applyNumberFormat="1" applyFont="1" applyFill="1" applyBorder="1" applyAlignment="1">
      <alignment vertical="center" wrapText="1"/>
    </xf>
    <xf numFmtId="0" fontId="15" fillId="5" borderId="8" xfId="0" applyFont="1" applyFill="1" applyBorder="1" applyAlignment="1">
      <alignment vertical="center" wrapText="1"/>
    </xf>
    <xf numFmtId="10" fontId="7" fillId="5" borderId="8" xfId="0" applyNumberFormat="1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DBDE871-6FF9-480D-AD12-49CAECBF6589}" autoFormatId="16" applyNumberFormats="0" applyBorderFormats="0" applyFontFormats="0" applyPatternFormats="0" applyAlignmentFormats="0" applyWidthHeightFormats="0">
  <queryTableRefresh nextId="7">
    <queryTableFields count="6">
      <queryTableField id="1" name="Municipio" tableColumnId="1"/>
      <queryTableField id="2" name="Area_Territorial_km2" tableColumnId="2"/>
      <queryTableField id="3" name="Populacao_Estimada_2021" tableColumnId="3"/>
      <queryTableField id="4" name="Densidade_Demografica_hab_km2_2010" tableColumnId="4"/>
      <queryTableField id="5" name="IDHM_2010" tableColumnId="5"/>
      <queryTableField id="6" name="PIB_per_capita_202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8D643D5E-A342-4923-942C-4B8017F10AD1}" autoFormatId="16" applyNumberFormats="0" applyBorderFormats="0" applyFontFormats="0" applyPatternFormats="0" applyAlignmentFormats="0" applyWidthHeightFormats="0">
  <queryTableRefresh nextId="7">
    <queryTableFields count="6">
      <queryTableField id="1" name="Municipio" tableColumnId="1"/>
      <queryTableField id="2" name="Area_Territorial_km2" tableColumnId="2"/>
      <queryTableField id="3" name="Populacao_Estimada_2021" tableColumnId="3"/>
      <queryTableField id="4" name="Densidade_Demografica_hab_km2_2010" tableColumnId="4"/>
      <queryTableField id="5" name="IDHM_2010" tableColumnId="5"/>
      <queryTableField id="6" name="PIB_per_capita_202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2964552-E981-41E8-8D3D-1E9A8AB06875}" autoFormatId="16" applyNumberFormats="0" applyBorderFormats="0" applyFontFormats="0" applyPatternFormats="0" applyAlignmentFormats="0" applyWidthHeightFormats="0">
  <queryTableRefresh nextId="9">
    <queryTableFields count="8">
      <queryTableField id="1" name="Municipio" tableColumnId="1"/>
      <queryTableField id="2" name="Area_Territorial_km2" tableColumnId="2"/>
      <queryTableField id="3" name="Populacao_Estimada_2021" tableColumnId="3"/>
      <queryTableField id="4" name="Densidade_Demografica_hab_km2_2010" tableColumnId="4"/>
      <queryTableField id="5" name="IDHM_2010" tableColumnId="5"/>
      <queryTableField id="6" name="PIB_per_capita_2020" tableColumnId="6"/>
      <queryTableField id="7" name="Microrregiao" tableColumnId="7"/>
      <queryTableField id="8" name="Column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9B25C4-3CCA-4298-BF15-395F65E88AD4}" name="Microrregiao_Triângulo" displayName="Microrregiao_Triângulo" ref="A1:F7" tableType="queryTable" totalsRowShown="0">
  <autoFilter ref="A1:F7" xr:uid="{069B25C4-3CCA-4298-BF15-395F65E88AD4}"/>
  <tableColumns count="6">
    <tableColumn id="1" xr3:uid="{09E56B56-7EE2-4F50-B2B8-5906FC0F93BC}" uniqueName="1" name="Municipio" queryTableFieldId="1" dataDxfId="4"/>
    <tableColumn id="2" xr3:uid="{6F415938-5ADC-4BD7-BA37-E460496BBC37}" uniqueName="2" name="Area_Territorial_km2" queryTableFieldId="2"/>
    <tableColumn id="3" xr3:uid="{1B02A358-D45A-42B3-8DF0-3F09E1B36279}" uniqueName="3" name="Populacao_Estimada_2021" queryTableFieldId="3"/>
    <tableColumn id="4" xr3:uid="{B14FB40F-CFD9-4458-912B-2359933C983B}" uniqueName="4" name="Densidade_Demografica_hab_km2_2010" queryTableFieldId="4"/>
    <tableColumn id="5" xr3:uid="{1447E751-E293-4B2D-A7C1-E34A4F1821E2}" uniqueName="5" name="IDHM_2010" queryTableFieldId="5"/>
    <tableColumn id="6" xr3:uid="{FCEBC0CB-396B-47F1-9721-ABEC8523CF75}" uniqueName="6" name="PIB_per_capita_2020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21BF04-017A-4149-A2D6-22A665A6740D}" name="Microrregiao_Rio_Negro_e_Solimões" displayName="Microrregiao_Rio_Negro_e_Solimões" ref="A1:F9" tableType="queryTable" totalsRowShown="0">
  <autoFilter ref="A1:F9" xr:uid="{DF21BF04-017A-4149-A2D6-22A665A6740D}"/>
  <tableColumns count="6">
    <tableColumn id="1" xr3:uid="{D8BD3A53-0BB7-43F3-B734-1D662C621914}" uniqueName="1" name="Municipio" queryTableFieldId="1" dataDxfId="3"/>
    <tableColumn id="2" xr3:uid="{80A334B9-988E-40E6-84E6-640C00718227}" uniqueName="2" name="Area_Territorial_km2" queryTableFieldId="2"/>
    <tableColumn id="3" xr3:uid="{FF173353-3E03-479D-9A98-2FF61179AFF6}" uniqueName="3" name="Populacao_Estimada_2021" queryTableFieldId="3"/>
    <tableColumn id="4" xr3:uid="{B39889C6-0A84-47DE-A27E-627FCA64E560}" uniqueName="4" name="Densidade_Demografica_hab_km2_2010" queryTableFieldId="4"/>
    <tableColumn id="5" xr3:uid="{2C0AC2E7-B890-42B3-9E64-42070B107636}" uniqueName="5" name="IDHM_2010" queryTableFieldId="5"/>
    <tableColumn id="6" xr3:uid="{960F086E-3FB5-49B5-9495-315F1839D1FC}" uniqueName="6" name="PIB_per_capita_2020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4F4C6A-5CE6-4B58-844C-9A1F026EF47D}" name="Dados_Completos" displayName="Dados_Completos" ref="A1:H63" tableType="queryTable" totalsRowShown="0">
  <autoFilter ref="A1:H63" xr:uid="{854F4C6A-5CE6-4B58-844C-9A1F026EF47D}"/>
  <tableColumns count="8">
    <tableColumn id="1" xr3:uid="{7D856E31-579C-45D7-82F9-FB8A91EB24AC}" uniqueName="1" name="Municipio" queryTableFieldId="1" dataDxfId="2"/>
    <tableColumn id="2" xr3:uid="{0894FBED-4F78-437C-A019-CD6D877A5043}" uniqueName="2" name="Area_Territorial_km2" queryTableFieldId="2"/>
    <tableColumn id="3" xr3:uid="{7050BB95-6D87-4F04-964C-1DFE9561DC5A}" uniqueName="3" name="Populacao_Estimada_2021" queryTableFieldId="3"/>
    <tableColumn id="4" xr3:uid="{6737EAAC-21E8-4B97-9789-8C3E169FF455}" uniqueName="4" name="Densidade_Demografica_hab_km2_2010" queryTableFieldId="4"/>
    <tableColumn id="5" xr3:uid="{33AAD43B-F337-470A-AB8E-8BD09CF5BA9B}" uniqueName="5" name="IDHM_2010" queryTableFieldId="5"/>
    <tableColumn id="6" xr3:uid="{72076811-24D5-4E56-91CE-AF9E3A2A17BE}" uniqueName="6" name="PIB_per_capita_2020" queryTableFieldId="6"/>
    <tableColumn id="7" xr3:uid="{6B0FAAD5-F3EB-4524-B4B2-12C2DB9F8DF0}" uniqueName="7" name="Microrregiao" queryTableFieldId="7" dataDxfId="1"/>
    <tableColumn id="8" xr3:uid="{5AB8AFCB-D3CC-4654-BAD6-8A38E2CF96AD}" uniqueName="8" name="Column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57CE-3E02-410A-9AE5-DF66F233E0D7}">
  <dimension ref="A1:F7"/>
  <sheetViews>
    <sheetView workbookViewId="0">
      <selection activeCell="C25" sqref="C25"/>
    </sheetView>
  </sheetViews>
  <sheetFormatPr defaultRowHeight="15" x14ac:dyDescent="0.25"/>
  <cols>
    <col min="1" max="1" width="12.140625" bestFit="1" customWidth="1"/>
    <col min="2" max="2" width="21.85546875" bestFit="1" customWidth="1"/>
    <col min="3" max="3" width="27" bestFit="1" customWidth="1"/>
    <col min="4" max="4" width="39.7109375" bestFit="1" customWidth="1"/>
    <col min="5" max="5" width="13.140625" bestFit="1" customWidth="1"/>
    <col min="6" max="6" width="2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5923461</v>
      </c>
      <c r="C2">
        <v>16396</v>
      </c>
      <c r="D2">
        <v>238</v>
      </c>
      <c r="E2">
        <v>527</v>
      </c>
      <c r="F2">
        <v>1199557</v>
      </c>
    </row>
    <row r="3" spans="1:6" x14ac:dyDescent="0.25">
      <c r="A3" t="s">
        <v>7</v>
      </c>
      <c r="B3">
        <v>558272</v>
      </c>
      <c r="C3">
        <v>1755</v>
      </c>
      <c r="D3">
        <v>13</v>
      </c>
      <c r="E3">
        <v>522</v>
      </c>
      <c r="F3">
        <v>617292</v>
      </c>
    </row>
    <row r="4" spans="1:6" x14ac:dyDescent="0.25">
      <c r="A4" t="s">
        <v>8</v>
      </c>
      <c r="B4">
        <v>1944255</v>
      </c>
      <c r="C4">
        <v>15495</v>
      </c>
      <c r="D4">
        <v>56</v>
      </c>
      <c r="E4">
        <v>522</v>
      </c>
      <c r="F4">
        <v>992469</v>
      </c>
    </row>
    <row r="5" spans="1:6" x14ac:dyDescent="0.25">
      <c r="A5" t="s">
        <v>9</v>
      </c>
      <c r="B5">
        <v>1683083</v>
      </c>
      <c r="C5">
        <v>18298</v>
      </c>
      <c r="D5">
        <v>104</v>
      </c>
      <c r="E5">
        <v>498</v>
      </c>
      <c r="F5">
        <v>1168322</v>
      </c>
    </row>
    <row r="6" spans="1:6" x14ac:dyDescent="0.25">
      <c r="A6" t="s">
        <v>10</v>
      </c>
      <c r="B6">
        <v>2369222</v>
      </c>
      <c r="C6">
        <v>59250</v>
      </c>
      <c r="D6">
        <v>259</v>
      </c>
      <c r="E6">
        <v>639</v>
      </c>
      <c r="F6">
        <v>1225894</v>
      </c>
    </row>
    <row r="7" spans="1:6" x14ac:dyDescent="0.25">
      <c r="A7" t="s">
        <v>11</v>
      </c>
      <c r="B7">
        <v>1027468</v>
      </c>
      <c r="C7">
        <v>13839</v>
      </c>
      <c r="D7">
        <v>116</v>
      </c>
      <c r="E7">
        <v>527</v>
      </c>
      <c r="F7">
        <v>97239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0F20-DC58-4FEC-9389-75838AB8569B}">
  <dimension ref="A1:F9"/>
  <sheetViews>
    <sheetView workbookViewId="0"/>
  </sheetViews>
  <sheetFormatPr defaultRowHeight="15" x14ac:dyDescent="0.25"/>
  <cols>
    <col min="1" max="1" width="12.28515625" bestFit="1" customWidth="1"/>
    <col min="2" max="2" width="21.85546875" bestFit="1" customWidth="1"/>
    <col min="3" max="3" width="27" bestFit="1" customWidth="1"/>
    <col min="4" max="4" width="39.7109375" bestFit="1" customWidth="1"/>
    <col min="5" max="5" width="13.140625" bestFit="1" customWidth="1"/>
    <col min="6" max="6" width="2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</v>
      </c>
      <c r="B2">
        <v>2446121</v>
      </c>
      <c r="C2">
        <v>14292</v>
      </c>
      <c r="D2">
        <v>416</v>
      </c>
      <c r="E2">
        <v>594</v>
      </c>
      <c r="F2">
        <v>931013</v>
      </c>
    </row>
    <row r="3" spans="1:6" x14ac:dyDescent="0.25">
      <c r="A3" t="s">
        <v>13</v>
      </c>
      <c r="B3">
        <v>603638</v>
      </c>
      <c r="C3">
        <v>21937</v>
      </c>
      <c r="D3">
        <v>282</v>
      </c>
      <c r="E3">
        <v>561</v>
      </c>
      <c r="F3">
        <v>1001754</v>
      </c>
    </row>
    <row r="4" spans="1:6" x14ac:dyDescent="0.25">
      <c r="A4" t="s">
        <v>14</v>
      </c>
      <c r="B4">
        <v>1747278</v>
      </c>
      <c r="C4">
        <v>20503</v>
      </c>
      <c r="D4">
        <v>9</v>
      </c>
      <c r="E4">
        <v>506</v>
      </c>
      <c r="F4">
        <v>906884</v>
      </c>
    </row>
    <row r="5" spans="1:6" x14ac:dyDescent="0.25">
      <c r="A5" t="s">
        <v>15</v>
      </c>
      <c r="B5">
        <v>9455539</v>
      </c>
      <c r="C5">
        <v>13482</v>
      </c>
      <c r="D5">
        <v>116</v>
      </c>
      <c r="E5">
        <v>569</v>
      </c>
      <c r="F5">
        <v>1284571</v>
      </c>
    </row>
    <row r="6" spans="1:6" x14ac:dyDescent="0.25">
      <c r="A6" t="s">
        <v>16</v>
      </c>
      <c r="B6">
        <v>5797077</v>
      </c>
      <c r="C6">
        <v>86713</v>
      </c>
      <c r="D6">
        <v>131</v>
      </c>
      <c r="E6">
        <v>586</v>
      </c>
      <c r="F6">
        <v>2238752</v>
      </c>
    </row>
    <row r="7" spans="1:6" x14ac:dyDescent="0.25">
      <c r="A7" t="s">
        <v>17</v>
      </c>
      <c r="B7">
        <v>1870071</v>
      </c>
      <c r="C7">
        <v>29691</v>
      </c>
      <c r="D7">
        <v>124</v>
      </c>
      <c r="E7">
        <v>563</v>
      </c>
      <c r="F7">
        <v>1710774</v>
      </c>
    </row>
    <row r="8" spans="1:6" x14ac:dyDescent="0.25">
      <c r="A8" t="s">
        <v>18</v>
      </c>
      <c r="B8">
        <v>7336579</v>
      </c>
      <c r="C8">
        <v>99613</v>
      </c>
      <c r="D8">
        <v>1162</v>
      </c>
      <c r="E8">
        <v>614</v>
      </c>
      <c r="F8">
        <v>1609989</v>
      </c>
    </row>
    <row r="9" spans="1:6" x14ac:dyDescent="0.25">
      <c r="A9" t="s">
        <v>19</v>
      </c>
      <c r="B9">
        <v>3777677</v>
      </c>
      <c r="C9">
        <v>20395</v>
      </c>
      <c r="D9">
        <v>39</v>
      </c>
      <c r="E9">
        <v>57</v>
      </c>
      <c r="F9">
        <v>111097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AAF0-438D-429B-B31D-9FD76D33E3CF}">
  <dimension ref="A1:H63"/>
  <sheetViews>
    <sheetView workbookViewId="0">
      <selection activeCell="B13" sqref="B13"/>
    </sheetView>
  </sheetViews>
  <sheetFormatPr defaultRowHeight="15" x14ac:dyDescent="0.25"/>
  <cols>
    <col min="1" max="1" width="24" bestFit="1" customWidth="1"/>
    <col min="2" max="2" width="21.85546875" bestFit="1" customWidth="1"/>
    <col min="3" max="3" width="27" bestFit="1" customWidth="1"/>
    <col min="4" max="4" width="39.7109375" bestFit="1" customWidth="1"/>
    <col min="5" max="5" width="13.140625" bestFit="1" customWidth="1"/>
    <col min="6" max="6" width="21.42578125" bestFit="1" customWidth="1"/>
    <col min="7" max="7" width="19.85546875" bestFit="1" customWidth="1"/>
    <col min="8" max="8" width="2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38</v>
      </c>
    </row>
    <row r="2" spans="1:8" x14ac:dyDescent="0.25">
      <c r="A2" t="s">
        <v>6</v>
      </c>
      <c r="B2">
        <v>5923461</v>
      </c>
      <c r="C2">
        <v>16396</v>
      </c>
      <c r="D2">
        <v>238</v>
      </c>
      <c r="E2">
        <v>527</v>
      </c>
      <c r="F2">
        <v>1199557</v>
      </c>
      <c r="G2" t="s">
        <v>39</v>
      </c>
      <c r="H2" t="s">
        <v>40</v>
      </c>
    </row>
    <row r="3" spans="1:8" x14ac:dyDescent="0.25">
      <c r="A3" t="s">
        <v>41</v>
      </c>
      <c r="B3">
        <v>4754109</v>
      </c>
      <c r="C3">
        <v>11934</v>
      </c>
      <c r="D3">
        <v>199</v>
      </c>
      <c r="E3">
        <v>56</v>
      </c>
      <c r="F3">
        <v>86893</v>
      </c>
      <c r="G3" t="s">
        <v>42</v>
      </c>
      <c r="H3" t="s">
        <v>40</v>
      </c>
    </row>
    <row r="4" spans="1:8" x14ac:dyDescent="0.25">
      <c r="A4" t="s">
        <v>12</v>
      </c>
      <c r="B4">
        <v>2446121</v>
      </c>
      <c r="C4">
        <v>14292</v>
      </c>
      <c r="D4">
        <v>416</v>
      </c>
      <c r="E4">
        <v>594</v>
      </c>
      <c r="F4">
        <v>931013</v>
      </c>
      <c r="G4" t="s">
        <v>43</v>
      </c>
      <c r="H4" t="s">
        <v>40</v>
      </c>
    </row>
    <row r="5" spans="1:8" x14ac:dyDescent="0.25">
      <c r="A5" t="s">
        <v>13</v>
      </c>
      <c r="B5">
        <v>603638</v>
      </c>
      <c r="C5">
        <v>21937</v>
      </c>
      <c r="D5">
        <v>282</v>
      </c>
      <c r="E5">
        <v>561</v>
      </c>
      <c r="F5">
        <v>1001754</v>
      </c>
      <c r="G5" t="s">
        <v>43</v>
      </c>
      <c r="H5" t="s">
        <v>40</v>
      </c>
    </row>
    <row r="6" spans="1:8" x14ac:dyDescent="0.25">
      <c r="A6" t="s">
        <v>44</v>
      </c>
      <c r="B6">
        <v>5424055</v>
      </c>
      <c r="C6">
        <v>22739</v>
      </c>
      <c r="D6">
        <v>33</v>
      </c>
      <c r="E6">
        <v>637</v>
      </c>
      <c r="F6">
        <v>1217022</v>
      </c>
      <c r="G6" t="s">
        <v>45</v>
      </c>
      <c r="H6" t="s">
        <v>40</v>
      </c>
    </row>
    <row r="7" spans="1:8" x14ac:dyDescent="0.25">
      <c r="A7" t="s">
        <v>46</v>
      </c>
      <c r="B7">
        <v>7650762</v>
      </c>
      <c r="C7">
        <v>20868</v>
      </c>
      <c r="D7">
        <v>2</v>
      </c>
      <c r="E7">
        <v>45</v>
      </c>
      <c r="F7">
        <v>846949</v>
      </c>
      <c r="G7" t="s">
        <v>42</v>
      </c>
      <c r="H7" t="s">
        <v>40</v>
      </c>
    </row>
    <row r="8" spans="1:8" x14ac:dyDescent="0.25">
      <c r="A8" t="s">
        <v>47</v>
      </c>
      <c r="B8">
        <v>7652852</v>
      </c>
      <c r="C8">
        <v>41005</v>
      </c>
      <c r="D8">
        <v>423</v>
      </c>
      <c r="E8">
        <v>577</v>
      </c>
      <c r="F8">
        <v>1109232</v>
      </c>
      <c r="G8" t="s">
        <v>48</v>
      </c>
      <c r="H8" t="s">
        <v>49</v>
      </c>
    </row>
    <row r="9" spans="1:8" x14ac:dyDescent="0.25">
      <c r="A9" t="s">
        <v>50</v>
      </c>
      <c r="B9">
        <v>1224611</v>
      </c>
      <c r="C9">
        <v>27772</v>
      </c>
      <c r="D9">
        <v>21</v>
      </c>
      <c r="E9">
        <v>5</v>
      </c>
      <c r="F9">
        <v>75444</v>
      </c>
      <c r="G9" t="s">
        <v>48</v>
      </c>
      <c r="H9" t="s">
        <v>49</v>
      </c>
    </row>
    <row r="10" spans="1:8" x14ac:dyDescent="0.25">
      <c r="A10" t="s">
        <v>51</v>
      </c>
      <c r="B10">
        <v>5751765</v>
      </c>
      <c r="C10">
        <v>32919</v>
      </c>
      <c r="D10">
        <v>476</v>
      </c>
      <c r="E10">
        <v>574</v>
      </c>
      <c r="F10">
        <v>965253</v>
      </c>
      <c r="G10" t="s">
        <v>52</v>
      </c>
      <c r="H10" t="s">
        <v>40</v>
      </c>
    </row>
    <row r="11" spans="1:8" x14ac:dyDescent="0.25">
      <c r="A11" t="s">
        <v>53</v>
      </c>
      <c r="B11">
        <v>8705441</v>
      </c>
      <c r="C11">
        <v>44873</v>
      </c>
      <c r="D11">
        <v>38</v>
      </c>
      <c r="E11">
        <v>574</v>
      </c>
      <c r="F11">
        <v>795134</v>
      </c>
      <c r="G11" t="s">
        <v>42</v>
      </c>
      <c r="H11" t="s">
        <v>40</v>
      </c>
    </row>
    <row r="12" spans="1:8" x14ac:dyDescent="0.25">
      <c r="A12" t="s">
        <v>14</v>
      </c>
      <c r="B12">
        <v>1747278</v>
      </c>
      <c r="C12">
        <v>20503</v>
      </c>
      <c r="D12">
        <v>9</v>
      </c>
      <c r="E12">
        <v>506</v>
      </c>
      <c r="F12">
        <v>906884</v>
      </c>
      <c r="G12" t="s">
        <v>43</v>
      </c>
      <c r="H12" t="s">
        <v>40</v>
      </c>
    </row>
    <row r="13" spans="1:8" x14ac:dyDescent="0.25">
      <c r="A13" t="s">
        <v>54</v>
      </c>
      <c r="B13">
        <v>2589407</v>
      </c>
      <c r="C13">
        <v>20040</v>
      </c>
      <c r="D13">
        <v>579</v>
      </c>
      <c r="E13">
        <v>565</v>
      </c>
      <c r="F13">
        <v>82295</v>
      </c>
      <c r="G13" t="s">
        <v>52</v>
      </c>
      <c r="H13" t="s">
        <v>40</v>
      </c>
    </row>
    <row r="14" spans="1:8" x14ac:dyDescent="0.25">
      <c r="A14" t="s">
        <v>26</v>
      </c>
      <c r="B14">
        <v>2193858</v>
      </c>
      <c r="C14">
        <v>34958</v>
      </c>
      <c r="D14">
        <v>14</v>
      </c>
      <c r="E14">
        <v>588</v>
      </c>
      <c r="F14">
        <v>1374043</v>
      </c>
      <c r="G14" t="s">
        <v>55</v>
      </c>
      <c r="H14" t="s">
        <v>40</v>
      </c>
    </row>
    <row r="15" spans="1:8" x14ac:dyDescent="0.25">
      <c r="A15" t="s">
        <v>56</v>
      </c>
      <c r="B15">
        <v>4423618</v>
      </c>
      <c r="C15">
        <v>42328</v>
      </c>
      <c r="D15">
        <v>79</v>
      </c>
      <c r="E15">
        <v>56</v>
      </c>
      <c r="F15">
        <v>865919</v>
      </c>
      <c r="G15" t="s">
        <v>45</v>
      </c>
      <c r="H15" t="s">
        <v>40</v>
      </c>
    </row>
    <row r="16" spans="1:8" x14ac:dyDescent="0.25">
      <c r="A16" t="s">
        <v>15</v>
      </c>
      <c r="B16">
        <v>9455539</v>
      </c>
      <c r="C16">
        <v>13482</v>
      </c>
      <c r="D16">
        <v>116</v>
      </c>
      <c r="E16">
        <v>569</v>
      </c>
      <c r="F16">
        <v>1284571</v>
      </c>
      <c r="G16" t="s">
        <v>43</v>
      </c>
      <c r="H16" t="s">
        <v>40</v>
      </c>
    </row>
    <row r="17" spans="1:8" x14ac:dyDescent="0.25">
      <c r="A17" t="s">
        <v>27</v>
      </c>
      <c r="B17">
        <v>3364273</v>
      </c>
      <c r="C17">
        <v>15981</v>
      </c>
      <c r="D17">
        <v>43</v>
      </c>
      <c r="E17">
        <v>53</v>
      </c>
      <c r="F17">
        <v>844009</v>
      </c>
      <c r="G17" t="s">
        <v>55</v>
      </c>
      <c r="H17" t="s">
        <v>40</v>
      </c>
    </row>
    <row r="18" spans="1:8" x14ac:dyDescent="0.25">
      <c r="A18" t="s">
        <v>20</v>
      </c>
      <c r="B18">
        <v>2577866</v>
      </c>
      <c r="C18">
        <v>28719</v>
      </c>
      <c r="D18">
        <v>1</v>
      </c>
      <c r="E18">
        <v>549</v>
      </c>
      <c r="F18">
        <v>1259108</v>
      </c>
      <c r="G18" t="s">
        <v>57</v>
      </c>
      <c r="H18" t="s">
        <v>40</v>
      </c>
    </row>
    <row r="19" spans="1:8" x14ac:dyDescent="0.25">
      <c r="A19" t="s">
        <v>58</v>
      </c>
      <c r="B19">
        <v>6096212</v>
      </c>
      <c r="C19">
        <v>38820</v>
      </c>
      <c r="D19">
        <v>537</v>
      </c>
      <c r="E19">
        <v>557</v>
      </c>
      <c r="F19">
        <v>948038</v>
      </c>
      <c r="G19" t="s">
        <v>48</v>
      </c>
      <c r="H19" t="s">
        <v>49</v>
      </c>
    </row>
    <row r="20" spans="1:8" x14ac:dyDescent="0.25">
      <c r="A20" t="s">
        <v>59</v>
      </c>
      <c r="B20">
        <v>2627474</v>
      </c>
      <c r="C20">
        <v>31459</v>
      </c>
      <c r="D20">
        <v>909</v>
      </c>
      <c r="E20">
        <v>568</v>
      </c>
      <c r="F20">
        <v>1212931</v>
      </c>
      <c r="G20" t="s">
        <v>48</v>
      </c>
      <c r="H20" t="s">
        <v>49</v>
      </c>
    </row>
    <row r="21" spans="1:8" x14ac:dyDescent="0.25">
      <c r="A21" t="s">
        <v>16</v>
      </c>
      <c r="B21">
        <v>5797077</v>
      </c>
      <c r="C21">
        <v>86713</v>
      </c>
      <c r="D21">
        <v>131</v>
      </c>
      <c r="E21">
        <v>586</v>
      </c>
      <c r="F21">
        <v>2238752</v>
      </c>
      <c r="G21" t="s">
        <v>43</v>
      </c>
      <c r="H21" t="s">
        <v>40</v>
      </c>
    </row>
    <row r="22" spans="1:8" x14ac:dyDescent="0.25">
      <c r="A22" t="s">
        <v>17</v>
      </c>
      <c r="B22">
        <v>1870071</v>
      </c>
      <c r="C22">
        <v>29691</v>
      </c>
      <c r="D22">
        <v>124</v>
      </c>
      <c r="E22">
        <v>563</v>
      </c>
      <c r="F22">
        <v>1710774</v>
      </c>
      <c r="G22" t="s">
        <v>43</v>
      </c>
      <c r="H22" t="s">
        <v>40</v>
      </c>
    </row>
    <row r="23" spans="1:8" x14ac:dyDescent="0.25">
      <c r="A23" t="s">
        <v>21</v>
      </c>
      <c r="B23">
        <v>1496624</v>
      </c>
      <c r="C23">
        <v>36121</v>
      </c>
      <c r="D23">
        <v>204</v>
      </c>
      <c r="E23">
        <v>563</v>
      </c>
      <c r="F23">
        <v>1408995</v>
      </c>
      <c r="G23" t="s">
        <v>57</v>
      </c>
      <c r="H23" t="s">
        <v>40</v>
      </c>
    </row>
    <row r="24" spans="1:8" x14ac:dyDescent="0.25">
      <c r="A24" t="s">
        <v>22</v>
      </c>
      <c r="B24">
        <v>7505794</v>
      </c>
      <c r="C24">
        <v>20748</v>
      </c>
      <c r="D24">
        <v>218</v>
      </c>
      <c r="E24">
        <v>509</v>
      </c>
      <c r="F24">
        <v>870512</v>
      </c>
      <c r="G24" t="s">
        <v>57</v>
      </c>
      <c r="H24" t="s">
        <v>40</v>
      </c>
    </row>
    <row r="25" spans="1:8" x14ac:dyDescent="0.25">
      <c r="A25" t="s">
        <v>60</v>
      </c>
      <c r="B25">
        <v>1215543</v>
      </c>
      <c r="C25">
        <v>16409</v>
      </c>
      <c r="D25">
        <v>188</v>
      </c>
      <c r="E25">
        <v>53</v>
      </c>
      <c r="F25">
        <v>834384</v>
      </c>
      <c r="G25" t="s">
        <v>42</v>
      </c>
      <c r="H25" t="s">
        <v>40</v>
      </c>
    </row>
    <row r="26" spans="1:8" x14ac:dyDescent="0.25">
      <c r="A26" t="s">
        <v>23</v>
      </c>
      <c r="B26">
        <v>7583534</v>
      </c>
      <c r="C26">
        <v>17193</v>
      </c>
      <c r="D26">
        <v>184</v>
      </c>
      <c r="E26">
        <v>532</v>
      </c>
      <c r="F26">
        <v>710507</v>
      </c>
      <c r="G26" t="s">
        <v>57</v>
      </c>
      <c r="H26" t="s">
        <v>40</v>
      </c>
    </row>
    <row r="27" spans="1:8" x14ac:dyDescent="0.25">
      <c r="A27" t="s">
        <v>61</v>
      </c>
      <c r="B27">
        <v>3311113</v>
      </c>
      <c r="C27">
        <v>57195</v>
      </c>
      <c r="D27">
        <v>134</v>
      </c>
      <c r="E27">
        <v>605</v>
      </c>
      <c r="F27">
        <v>1525785</v>
      </c>
      <c r="G27" t="s">
        <v>45</v>
      </c>
      <c r="H27" t="s">
        <v>40</v>
      </c>
    </row>
    <row r="28" spans="1:8" x14ac:dyDescent="0.25">
      <c r="A28" t="s">
        <v>24</v>
      </c>
      <c r="B28">
        <v>1210978</v>
      </c>
      <c r="C28">
        <v>31172</v>
      </c>
      <c r="D28">
        <v>185</v>
      </c>
      <c r="E28">
        <v>481</v>
      </c>
      <c r="F28">
        <v>821778</v>
      </c>
      <c r="G28" t="s">
        <v>57</v>
      </c>
      <c r="H28" t="s">
        <v>40</v>
      </c>
    </row>
    <row r="29" spans="1:8" x14ac:dyDescent="0.25">
      <c r="A29" t="s">
        <v>62</v>
      </c>
      <c r="B29">
        <v>2216817</v>
      </c>
      <c r="C29">
        <v>49718</v>
      </c>
      <c r="D29">
        <v>1842</v>
      </c>
      <c r="E29">
        <v>613</v>
      </c>
      <c r="F29">
        <v>2040246</v>
      </c>
      <c r="G29" t="s">
        <v>48</v>
      </c>
      <c r="H29" t="s">
        <v>49</v>
      </c>
    </row>
    <row r="30" spans="1:8" x14ac:dyDescent="0.25">
      <c r="A30" t="s">
        <v>31</v>
      </c>
      <c r="B30">
        <v>8891906</v>
      </c>
      <c r="C30">
        <v>104046</v>
      </c>
      <c r="D30">
        <v>977</v>
      </c>
      <c r="E30">
        <v>644</v>
      </c>
      <c r="F30">
        <v>2213634</v>
      </c>
      <c r="G30" t="s">
        <v>63</v>
      </c>
      <c r="H30" t="s">
        <v>40</v>
      </c>
    </row>
    <row r="31" spans="1:8" x14ac:dyDescent="0.25">
      <c r="A31" t="s">
        <v>25</v>
      </c>
      <c r="B31">
        <v>2526043</v>
      </c>
      <c r="C31">
        <v>7777</v>
      </c>
      <c r="D31">
        <v>32</v>
      </c>
      <c r="E31">
        <v>477</v>
      </c>
      <c r="F31">
        <v>896773</v>
      </c>
      <c r="G31" t="s">
        <v>57</v>
      </c>
      <c r="H31" t="s">
        <v>40</v>
      </c>
    </row>
    <row r="32" spans="1:8" x14ac:dyDescent="0.25">
      <c r="A32" t="s">
        <v>32</v>
      </c>
      <c r="B32">
        <v>4335075</v>
      </c>
      <c r="C32">
        <v>9312</v>
      </c>
      <c r="D32">
        <v>194</v>
      </c>
      <c r="E32">
        <v>654</v>
      </c>
      <c r="F32">
        <v>135369</v>
      </c>
      <c r="G32" t="s">
        <v>63</v>
      </c>
      <c r="H32" t="s">
        <v>40</v>
      </c>
    </row>
    <row r="33" spans="1:8" x14ac:dyDescent="0.25">
      <c r="A33" t="s">
        <v>7</v>
      </c>
      <c r="B33">
        <v>558272</v>
      </c>
      <c r="C33">
        <v>1755</v>
      </c>
      <c r="D33">
        <v>13</v>
      </c>
      <c r="E33">
        <v>522</v>
      </c>
      <c r="F33">
        <v>617292</v>
      </c>
      <c r="G33" t="s">
        <v>39</v>
      </c>
      <c r="H33" t="s">
        <v>40</v>
      </c>
    </row>
    <row r="34" spans="1:8" x14ac:dyDescent="0.25">
      <c r="A34" t="s">
        <v>8</v>
      </c>
      <c r="B34">
        <v>1944255</v>
      </c>
      <c r="C34">
        <v>15495</v>
      </c>
      <c r="D34">
        <v>56</v>
      </c>
      <c r="E34">
        <v>522</v>
      </c>
      <c r="F34">
        <v>992469</v>
      </c>
      <c r="G34" t="s">
        <v>39</v>
      </c>
      <c r="H34" t="s">
        <v>40</v>
      </c>
    </row>
    <row r="35" spans="1:8" x14ac:dyDescent="0.25">
      <c r="A35" t="s">
        <v>64</v>
      </c>
      <c r="B35">
        <v>6945742</v>
      </c>
      <c r="C35">
        <v>13462</v>
      </c>
      <c r="D35">
        <v>26</v>
      </c>
      <c r="E35">
        <v>516</v>
      </c>
      <c r="F35">
        <v>75942</v>
      </c>
      <c r="G35" t="s">
        <v>42</v>
      </c>
      <c r="H35" t="s">
        <v>40</v>
      </c>
    </row>
    <row r="36" spans="1:8" x14ac:dyDescent="0.25">
      <c r="A36" t="s">
        <v>28</v>
      </c>
      <c r="B36">
        <v>6826268</v>
      </c>
      <c r="C36">
        <v>47685</v>
      </c>
      <c r="D36">
        <v>55</v>
      </c>
      <c r="E36">
        <v>531</v>
      </c>
      <c r="F36">
        <v>1273258</v>
      </c>
      <c r="G36" t="s">
        <v>55</v>
      </c>
      <c r="H36" t="s">
        <v>40</v>
      </c>
    </row>
    <row r="37" spans="1:8" x14ac:dyDescent="0.25">
      <c r="A37" t="s">
        <v>18</v>
      </c>
      <c r="B37">
        <v>7336579</v>
      </c>
      <c r="C37">
        <v>99613</v>
      </c>
      <c r="D37">
        <v>1162</v>
      </c>
      <c r="E37">
        <v>614</v>
      </c>
      <c r="F37">
        <v>1609989</v>
      </c>
      <c r="G37" t="s">
        <v>43</v>
      </c>
      <c r="H37" t="s">
        <v>40</v>
      </c>
    </row>
    <row r="38" spans="1:8" x14ac:dyDescent="0.25">
      <c r="A38" t="s">
        <v>65</v>
      </c>
      <c r="B38">
        <v>3973258</v>
      </c>
      <c r="C38">
        <v>33981</v>
      </c>
      <c r="D38">
        <v>573</v>
      </c>
      <c r="E38">
        <v>596</v>
      </c>
      <c r="F38">
        <v>5145411</v>
      </c>
      <c r="G38" t="s">
        <v>48</v>
      </c>
      <c r="H38" t="s">
        <v>49</v>
      </c>
    </row>
    <row r="39" spans="1:8" x14ac:dyDescent="0.25">
      <c r="A39" t="s">
        <v>48</v>
      </c>
      <c r="B39">
        <v>1140109</v>
      </c>
      <c r="C39">
        <v>2255903</v>
      </c>
      <c r="D39">
        <v>15806</v>
      </c>
      <c r="E39">
        <v>737</v>
      </c>
      <c r="F39">
        <v>1701021</v>
      </c>
      <c r="G39" t="s">
        <v>48</v>
      </c>
      <c r="H39" t="s">
        <v>49</v>
      </c>
    </row>
    <row r="40" spans="1:8" x14ac:dyDescent="0.25">
      <c r="A40" t="s">
        <v>66</v>
      </c>
      <c r="B40">
        <v>4831504</v>
      </c>
      <c r="C40">
        <v>57405</v>
      </c>
      <c r="D40">
        <v>97</v>
      </c>
      <c r="E40">
        <v>582</v>
      </c>
      <c r="F40">
        <v>633608</v>
      </c>
      <c r="G40" t="s">
        <v>45</v>
      </c>
      <c r="H40" t="s">
        <v>40</v>
      </c>
    </row>
    <row r="41" spans="1:8" x14ac:dyDescent="0.25">
      <c r="A41" t="s">
        <v>9</v>
      </c>
      <c r="B41">
        <v>1683083</v>
      </c>
      <c r="C41">
        <v>18298</v>
      </c>
      <c r="D41">
        <v>104</v>
      </c>
      <c r="E41">
        <v>498</v>
      </c>
      <c r="F41">
        <v>1168322</v>
      </c>
      <c r="G41" t="s">
        <v>39</v>
      </c>
      <c r="H41" t="s">
        <v>40</v>
      </c>
    </row>
    <row r="42" spans="1:8" x14ac:dyDescent="0.25">
      <c r="A42" t="s">
        <v>67</v>
      </c>
      <c r="B42">
        <v>3999107</v>
      </c>
      <c r="C42">
        <v>66159</v>
      </c>
      <c r="D42">
        <v>131</v>
      </c>
      <c r="E42">
        <v>588</v>
      </c>
      <c r="F42">
        <v>142125</v>
      </c>
      <c r="G42" t="s">
        <v>52</v>
      </c>
      <c r="H42" t="s">
        <v>40</v>
      </c>
    </row>
    <row r="43" spans="1:8" x14ac:dyDescent="0.25">
      <c r="A43" t="s">
        <v>68</v>
      </c>
      <c r="B43">
        <v>1410704</v>
      </c>
      <c r="C43">
        <v>21710</v>
      </c>
      <c r="D43">
        <v>13</v>
      </c>
      <c r="E43">
        <v>586</v>
      </c>
      <c r="F43">
        <v>1284784</v>
      </c>
      <c r="G43" t="s">
        <v>52</v>
      </c>
      <c r="H43" t="s">
        <v>40</v>
      </c>
    </row>
    <row r="44" spans="1:8" x14ac:dyDescent="0.25">
      <c r="A44" t="s">
        <v>69</v>
      </c>
      <c r="B44">
        <v>5578132</v>
      </c>
      <c r="C44">
        <v>38665</v>
      </c>
      <c r="D44">
        <v>547</v>
      </c>
      <c r="E44">
        <v>558</v>
      </c>
      <c r="F44">
        <v>1019591</v>
      </c>
      <c r="G44" t="s">
        <v>48</v>
      </c>
      <c r="H44" t="s">
        <v>49</v>
      </c>
    </row>
    <row r="45" spans="1:8" x14ac:dyDescent="0.25">
      <c r="A45" t="s">
        <v>19</v>
      </c>
      <c r="B45">
        <v>3777677</v>
      </c>
      <c r="C45">
        <v>20395</v>
      </c>
      <c r="D45">
        <v>39</v>
      </c>
      <c r="E45">
        <v>57</v>
      </c>
      <c r="F45">
        <v>111097</v>
      </c>
      <c r="G45" t="s">
        <v>43</v>
      </c>
      <c r="H45" t="s">
        <v>40</v>
      </c>
    </row>
    <row r="46" spans="1:8" x14ac:dyDescent="0.25">
      <c r="A46" t="s">
        <v>70</v>
      </c>
      <c r="B46">
        <v>4117966</v>
      </c>
      <c r="C46">
        <v>26443</v>
      </c>
      <c r="D46">
        <v>52</v>
      </c>
      <c r="E46">
        <v>554</v>
      </c>
      <c r="F46">
        <v>2021501</v>
      </c>
      <c r="G46" t="s">
        <v>45</v>
      </c>
      <c r="H46" t="s">
        <v>40</v>
      </c>
    </row>
    <row r="47" spans="1:8" x14ac:dyDescent="0.25">
      <c r="A47" t="s">
        <v>71</v>
      </c>
      <c r="B47">
        <v>5956047</v>
      </c>
      <c r="C47">
        <v>116439</v>
      </c>
      <c r="D47">
        <v>1714</v>
      </c>
      <c r="E47">
        <v>658</v>
      </c>
      <c r="F47">
        <v>872822</v>
      </c>
      <c r="G47" t="s">
        <v>52</v>
      </c>
      <c r="H47" t="s">
        <v>40</v>
      </c>
    </row>
    <row r="48" spans="1:8" x14ac:dyDescent="0.25">
      <c r="A48" t="s">
        <v>29</v>
      </c>
      <c r="B48">
        <v>4162466</v>
      </c>
      <c r="C48">
        <v>19616</v>
      </c>
      <c r="D48">
        <v>44</v>
      </c>
      <c r="E48">
        <v>496</v>
      </c>
      <c r="F48">
        <v>4781324</v>
      </c>
      <c r="G48" t="s">
        <v>55</v>
      </c>
      <c r="H48" t="s">
        <v>40</v>
      </c>
    </row>
    <row r="49" spans="1:8" x14ac:dyDescent="0.25">
      <c r="A49" t="s">
        <v>72</v>
      </c>
      <c r="B49">
        <v>254591</v>
      </c>
      <c r="C49">
        <v>38095</v>
      </c>
      <c r="D49">
        <v>107</v>
      </c>
      <c r="E49">
        <v>647</v>
      </c>
      <c r="F49">
        <v>1769654</v>
      </c>
      <c r="G49" t="s">
        <v>48</v>
      </c>
      <c r="H49" t="s">
        <v>49</v>
      </c>
    </row>
    <row r="50" spans="1:8" x14ac:dyDescent="0.25">
      <c r="A50" t="s">
        <v>73</v>
      </c>
      <c r="B50">
        <v>5815622</v>
      </c>
      <c r="C50">
        <v>34856</v>
      </c>
      <c r="D50">
        <v>442</v>
      </c>
      <c r="E50">
        <v>611</v>
      </c>
      <c r="F50">
        <v>690894</v>
      </c>
      <c r="G50" t="s">
        <v>48</v>
      </c>
      <c r="H50" t="s">
        <v>49</v>
      </c>
    </row>
    <row r="51" spans="1:8" x14ac:dyDescent="0.25">
      <c r="A51" t="s">
        <v>74</v>
      </c>
      <c r="B51">
        <v>6280008</v>
      </c>
      <c r="C51">
        <v>26566</v>
      </c>
      <c r="D51">
        <v>29</v>
      </c>
      <c r="E51">
        <v>479</v>
      </c>
      <c r="F51">
        <v>1255538</v>
      </c>
      <c r="G51" t="s">
        <v>48</v>
      </c>
      <c r="H51" t="s">
        <v>49</v>
      </c>
    </row>
    <row r="52" spans="1:8" x14ac:dyDescent="0.25">
      <c r="A52" t="s">
        <v>75</v>
      </c>
      <c r="B52">
        <v>1236621</v>
      </c>
      <c r="C52">
        <v>20889</v>
      </c>
      <c r="D52">
        <v>199</v>
      </c>
      <c r="E52">
        <v>49</v>
      </c>
      <c r="F52">
        <v>853322</v>
      </c>
      <c r="G52" t="s">
        <v>42</v>
      </c>
      <c r="H52" t="s">
        <v>40</v>
      </c>
    </row>
    <row r="53" spans="1:8" x14ac:dyDescent="0.25">
      <c r="A53" t="s">
        <v>76</v>
      </c>
      <c r="B53">
        <v>1091926</v>
      </c>
      <c r="C53">
        <v>47031</v>
      </c>
      <c r="D53">
        <v>35</v>
      </c>
      <c r="E53">
        <v>609</v>
      </c>
      <c r="F53">
        <v>1012948</v>
      </c>
      <c r="G53" t="s">
        <v>48</v>
      </c>
      <c r="H53" t="s">
        <v>49</v>
      </c>
    </row>
    <row r="54" spans="1:8" x14ac:dyDescent="0.25">
      <c r="A54" t="s">
        <v>77</v>
      </c>
      <c r="B54">
        <v>196585</v>
      </c>
      <c r="C54">
        <v>40837</v>
      </c>
      <c r="D54">
        <v>159</v>
      </c>
      <c r="E54">
        <v>521</v>
      </c>
      <c r="F54">
        <v>1021583</v>
      </c>
      <c r="G54" t="s">
        <v>42</v>
      </c>
      <c r="H54" t="s">
        <v>40</v>
      </c>
    </row>
    <row r="55" spans="1:8" x14ac:dyDescent="0.25">
      <c r="A55" t="s">
        <v>33</v>
      </c>
      <c r="B55">
        <v>1064746</v>
      </c>
      <c r="C55">
        <v>14678</v>
      </c>
      <c r="D55">
        <v>1</v>
      </c>
      <c r="E55">
        <v>577</v>
      </c>
      <c r="F55">
        <v>1132795</v>
      </c>
      <c r="G55" t="s">
        <v>63</v>
      </c>
      <c r="H55" t="s">
        <v>40</v>
      </c>
    </row>
    <row r="56" spans="1:8" x14ac:dyDescent="0.25">
      <c r="A56" t="s">
        <v>34</v>
      </c>
      <c r="B56">
        <v>3723382</v>
      </c>
      <c r="C56">
        <v>9289</v>
      </c>
      <c r="D56">
        <v>225</v>
      </c>
      <c r="E56">
        <v>632</v>
      </c>
      <c r="F56">
        <v>942899</v>
      </c>
      <c r="G56" t="s">
        <v>63</v>
      </c>
      <c r="H56" t="s">
        <v>40</v>
      </c>
    </row>
    <row r="57" spans="1:8" x14ac:dyDescent="0.25">
      <c r="A57" t="s">
        <v>78</v>
      </c>
      <c r="B57">
        <v>3260103</v>
      </c>
      <c r="C57">
        <v>68502</v>
      </c>
      <c r="D57">
        <v>1621</v>
      </c>
      <c r="E57">
        <v>616</v>
      </c>
      <c r="F57">
        <v>2261816</v>
      </c>
      <c r="G57" t="s">
        <v>42</v>
      </c>
      <c r="H57" t="s">
        <v>40</v>
      </c>
    </row>
    <row r="58" spans="1:8" x14ac:dyDescent="0.25">
      <c r="A58" t="s">
        <v>30</v>
      </c>
      <c r="B58">
        <v>8494604</v>
      </c>
      <c r="C58">
        <v>16876</v>
      </c>
      <c r="D58">
        <v>21</v>
      </c>
      <c r="E58">
        <v>502</v>
      </c>
      <c r="F58">
        <v>681618</v>
      </c>
      <c r="G58" t="s">
        <v>55</v>
      </c>
      <c r="H58" t="s">
        <v>40</v>
      </c>
    </row>
    <row r="59" spans="1:8" x14ac:dyDescent="0.25">
      <c r="A59" t="s">
        <v>10</v>
      </c>
      <c r="B59">
        <v>2369222</v>
      </c>
      <c r="C59">
        <v>59250</v>
      </c>
      <c r="D59">
        <v>259</v>
      </c>
      <c r="E59">
        <v>639</v>
      </c>
      <c r="F59">
        <v>1225894</v>
      </c>
      <c r="G59" t="s">
        <v>39</v>
      </c>
      <c r="H59" t="s">
        <v>40</v>
      </c>
    </row>
    <row r="60" spans="1:8" x14ac:dyDescent="0.25">
      <c r="A60" t="s">
        <v>79</v>
      </c>
      <c r="B60">
        <v>6446894</v>
      </c>
      <c r="C60">
        <v>19038</v>
      </c>
      <c r="D60">
        <v>266</v>
      </c>
      <c r="E60">
        <v>548</v>
      </c>
      <c r="F60">
        <v>946208</v>
      </c>
      <c r="G60" t="s">
        <v>42</v>
      </c>
      <c r="H60" t="s">
        <v>40</v>
      </c>
    </row>
    <row r="61" spans="1:8" x14ac:dyDescent="0.25">
      <c r="A61" t="s">
        <v>11</v>
      </c>
      <c r="B61">
        <v>1027468</v>
      </c>
      <c r="C61">
        <v>13839</v>
      </c>
      <c r="D61">
        <v>116</v>
      </c>
      <c r="E61">
        <v>527</v>
      </c>
      <c r="F61">
        <v>97239</v>
      </c>
      <c r="G61" t="s">
        <v>39</v>
      </c>
      <c r="H61" t="s">
        <v>40</v>
      </c>
    </row>
    <row r="62" spans="1:8" x14ac:dyDescent="0.25">
      <c r="A62" t="s">
        <v>35</v>
      </c>
      <c r="B62">
        <v>2790196</v>
      </c>
      <c r="C62">
        <v>16007</v>
      </c>
      <c r="D62">
        <v>61</v>
      </c>
      <c r="E62">
        <v>62</v>
      </c>
      <c r="F62">
        <v>1045683</v>
      </c>
      <c r="G62" t="s">
        <v>63</v>
      </c>
      <c r="H62" t="s">
        <v>40</v>
      </c>
    </row>
    <row r="63" spans="1:8" x14ac:dyDescent="0.25">
      <c r="A63" t="s">
        <v>36</v>
      </c>
      <c r="B63">
        <v>2886494</v>
      </c>
      <c r="C63">
        <v>24098</v>
      </c>
      <c r="D63">
        <v>614</v>
      </c>
      <c r="E63">
        <v>588</v>
      </c>
      <c r="F63">
        <v>882095</v>
      </c>
      <c r="G63" t="s">
        <v>63</v>
      </c>
      <c r="H6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944A-BF7E-417D-9AB5-1B5CBB9BC460}">
  <dimension ref="A1:W95"/>
  <sheetViews>
    <sheetView topLeftCell="A65" workbookViewId="0">
      <selection activeCell="J94" sqref="B89:J94"/>
    </sheetView>
  </sheetViews>
  <sheetFormatPr defaultRowHeight="15" x14ac:dyDescent="0.25"/>
  <cols>
    <col min="5" max="5" width="8.28515625" bestFit="1" customWidth="1"/>
    <col min="15" max="15" width="9.42578125" bestFit="1" customWidth="1"/>
  </cols>
  <sheetData>
    <row r="1" spans="1:23" ht="60.75" thickBot="1" x14ac:dyDescent="0.3">
      <c r="A1" s="1" t="s">
        <v>80</v>
      </c>
      <c r="B1" s="1" t="s">
        <v>81</v>
      </c>
      <c r="C1" s="11" t="s">
        <v>82</v>
      </c>
      <c r="D1" s="11"/>
      <c r="E1" s="11" t="s">
        <v>83</v>
      </c>
      <c r="F1" s="11"/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</row>
    <row r="2" spans="1:23" x14ac:dyDescent="0.25">
      <c r="A2" s="2" t="s">
        <v>47</v>
      </c>
      <c r="B2" s="9"/>
      <c r="C2" s="9"/>
      <c r="D2" s="9"/>
      <c r="E2" s="9"/>
      <c r="F2" s="3"/>
      <c r="G2" s="3"/>
      <c r="H2" s="3"/>
      <c r="I2" s="4"/>
      <c r="J2" s="4"/>
      <c r="K2" s="4"/>
      <c r="L2" s="4"/>
    </row>
    <row r="3" spans="1:23" x14ac:dyDescent="0.25">
      <c r="A3" s="2" t="s">
        <v>50</v>
      </c>
      <c r="B3" s="8"/>
      <c r="C3" s="8"/>
      <c r="D3" s="8"/>
      <c r="E3" s="8"/>
      <c r="F3" s="3"/>
      <c r="G3" s="3"/>
      <c r="H3" s="3"/>
      <c r="I3" s="4"/>
      <c r="J3" s="4"/>
      <c r="K3" s="4"/>
      <c r="L3" s="4"/>
    </row>
    <row r="4" spans="1:23" x14ac:dyDescent="0.25">
      <c r="A4" s="2" t="s">
        <v>58</v>
      </c>
      <c r="B4" s="8"/>
      <c r="C4" s="8"/>
      <c r="D4" s="8"/>
      <c r="E4" s="8"/>
      <c r="F4" s="3"/>
      <c r="G4" s="3"/>
      <c r="H4" s="3"/>
      <c r="I4" s="4"/>
      <c r="J4" s="4"/>
      <c r="K4" s="4"/>
      <c r="L4" s="4"/>
    </row>
    <row r="5" spans="1:23" x14ac:dyDescent="0.25">
      <c r="A5" s="2" t="s">
        <v>59</v>
      </c>
      <c r="B5" s="8"/>
      <c r="C5" s="8"/>
      <c r="D5" s="8"/>
      <c r="E5" s="8"/>
      <c r="F5" s="3"/>
      <c r="G5" s="3"/>
      <c r="H5" s="3"/>
      <c r="I5" s="4"/>
      <c r="J5" s="4"/>
      <c r="K5" s="4"/>
      <c r="L5" s="4"/>
    </row>
    <row r="6" spans="1:23" x14ac:dyDescent="0.25">
      <c r="A6" s="2" t="s">
        <v>62</v>
      </c>
      <c r="B6" s="8"/>
      <c r="C6" s="8"/>
      <c r="D6" s="8"/>
      <c r="E6" s="8"/>
      <c r="F6" s="3"/>
      <c r="G6" s="3"/>
      <c r="H6" s="3"/>
      <c r="I6" s="4"/>
      <c r="J6" s="4"/>
      <c r="K6" s="4"/>
      <c r="L6" s="4"/>
    </row>
    <row r="7" spans="1:23" x14ac:dyDescent="0.25">
      <c r="A7" s="2" t="s">
        <v>65</v>
      </c>
      <c r="B7" s="8"/>
      <c r="C7" s="8"/>
      <c r="D7" s="8"/>
      <c r="E7" s="8"/>
      <c r="F7" s="3"/>
      <c r="G7" s="3"/>
      <c r="H7" s="3"/>
      <c r="I7" s="4"/>
      <c r="J7" s="4"/>
      <c r="K7" s="4"/>
      <c r="L7" s="4"/>
    </row>
    <row r="8" spans="1:23" x14ac:dyDescent="0.25">
      <c r="A8" s="2" t="s">
        <v>48</v>
      </c>
      <c r="B8" s="8"/>
      <c r="C8" s="8"/>
      <c r="D8" s="8"/>
      <c r="E8" s="8"/>
      <c r="F8" s="3"/>
      <c r="G8" s="3"/>
      <c r="H8" s="3"/>
      <c r="I8" s="4"/>
      <c r="J8" s="4"/>
      <c r="K8" s="4"/>
      <c r="L8" s="4"/>
    </row>
    <row r="9" spans="1:23" x14ac:dyDescent="0.25">
      <c r="A9" s="2" t="s">
        <v>69</v>
      </c>
      <c r="B9" s="8"/>
      <c r="C9" s="8"/>
      <c r="D9" s="8"/>
      <c r="E9" s="8"/>
      <c r="F9" s="3"/>
      <c r="G9" s="3"/>
      <c r="H9" s="3"/>
      <c r="I9" s="4"/>
      <c r="J9" s="4"/>
      <c r="K9" s="4"/>
      <c r="L9" s="4"/>
    </row>
    <row r="10" spans="1:23" ht="15.75" thickBot="1" x14ac:dyDescent="0.3">
      <c r="A10" s="2" t="s">
        <v>72</v>
      </c>
      <c r="B10" s="8"/>
      <c r="C10" s="8"/>
      <c r="D10" s="8"/>
      <c r="E10" s="8"/>
      <c r="F10" s="3"/>
      <c r="G10" s="3"/>
      <c r="H10" s="3"/>
      <c r="I10" s="4"/>
      <c r="J10" s="4"/>
      <c r="K10" s="4"/>
      <c r="L10" s="4"/>
    </row>
    <row r="11" spans="1:23" x14ac:dyDescent="0.25">
      <c r="A11" s="2" t="s">
        <v>73</v>
      </c>
      <c r="B11" s="8"/>
      <c r="C11" s="8"/>
      <c r="D11" s="8"/>
      <c r="E11" s="8"/>
      <c r="F11" s="3"/>
      <c r="G11" s="3"/>
      <c r="H11" s="3"/>
      <c r="I11" s="4"/>
      <c r="J11" s="4"/>
      <c r="K11" s="4"/>
      <c r="L11" s="4"/>
      <c r="N11" s="12" t="s">
        <v>47</v>
      </c>
      <c r="O11" s="13" t="s">
        <v>90</v>
      </c>
      <c r="P11" s="13">
        <v>13</v>
      </c>
      <c r="Q11" s="14" t="s">
        <v>90</v>
      </c>
      <c r="R11" s="14">
        <v>1</v>
      </c>
      <c r="S11" s="14" t="s">
        <v>90</v>
      </c>
      <c r="T11" s="15" t="s">
        <v>90</v>
      </c>
      <c r="U11" s="15" t="s">
        <v>90</v>
      </c>
      <c r="V11" s="15" t="s">
        <v>90</v>
      </c>
      <c r="W11" s="15">
        <v>1</v>
      </c>
    </row>
    <row r="12" spans="1:23" x14ac:dyDescent="0.25">
      <c r="A12" s="2" t="s">
        <v>74</v>
      </c>
      <c r="B12" s="8"/>
      <c r="C12" s="8"/>
      <c r="D12" s="8"/>
      <c r="E12" s="8"/>
      <c r="F12" s="3"/>
      <c r="G12" s="3"/>
      <c r="H12" s="3"/>
      <c r="I12" s="4"/>
      <c r="J12" s="4"/>
      <c r="K12" s="4"/>
      <c r="L12" s="4"/>
      <c r="N12" s="12" t="s">
        <v>50</v>
      </c>
      <c r="O12" s="14">
        <v>1</v>
      </c>
      <c r="P12" s="14">
        <v>2</v>
      </c>
      <c r="Q12" s="14" t="s">
        <v>90</v>
      </c>
      <c r="R12" s="14">
        <v>1</v>
      </c>
      <c r="S12" s="14" t="s">
        <v>90</v>
      </c>
      <c r="T12" s="15" t="s">
        <v>90</v>
      </c>
      <c r="U12" s="15">
        <v>1</v>
      </c>
      <c r="V12" s="15">
        <v>2</v>
      </c>
      <c r="W12" s="15" t="s">
        <v>90</v>
      </c>
    </row>
    <row r="13" spans="1:23" ht="15.75" thickBot="1" x14ac:dyDescent="0.3">
      <c r="A13" s="5" t="s">
        <v>76</v>
      </c>
      <c r="B13" s="10"/>
      <c r="C13" s="10"/>
      <c r="D13" s="10"/>
      <c r="E13" s="10"/>
      <c r="F13" s="6"/>
      <c r="G13" s="6"/>
      <c r="H13" s="6"/>
      <c r="I13" s="7"/>
      <c r="J13" s="7"/>
      <c r="K13" s="7"/>
      <c r="L13" s="7"/>
      <c r="N13" s="12" t="s">
        <v>58</v>
      </c>
      <c r="O13" s="14" t="s">
        <v>90</v>
      </c>
      <c r="P13" s="14">
        <v>14</v>
      </c>
      <c r="Q13" s="14" t="s">
        <v>90</v>
      </c>
      <c r="R13" s="14">
        <v>1</v>
      </c>
      <c r="S13" s="14" t="s">
        <v>90</v>
      </c>
      <c r="T13" s="15" t="s">
        <v>90</v>
      </c>
      <c r="U13" s="15" t="s">
        <v>90</v>
      </c>
      <c r="V13" s="15">
        <v>1</v>
      </c>
      <c r="W13" s="15">
        <v>1</v>
      </c>
    </row>
    <row r="14" spans="1:23" ht="15.75" thickBot="1" x14ac:dyDescent="0.3">
      <c r="N14" s="12" t="s">
        <v>59</v>
      </c>
      <c r="O14" s="14">
        <v>16</v>
      </c>
      <c r="P14" s="14" t="s">
        <v>90</v>
      </c>
      <c r="Q14" s="14" t="s">
        <v>90</v>
      </c>
      <c r="R14" s="14">
        <v>1</v>
      </c>
      <c r="S14" s="14" t="s">
        <v>90</v>
      </c>
      <c r="T14" s="15" t="s">
        <v>90</v>
      </c>
      <c r="U14" s="15" t="s">
        <v>90</v>
      </c>
      <c r="V14" s="15">
        <v>1</v>
      </c>
      <c r="W14" s="15" t="s">
        <v>90</v>
      </c>
    </row>
    <row r="15" spans="1:23" ht="44.25" customHeight="1" x14ac:dyDescent="0.25">
      <c r="A15" s="19" t="s">
        <v>80</v>
      </c>
      <c r="B15" s="19" t="s">
        <v>81</v>
      </c>
      <c r="C15" s="19" t="s">
        <v>91</v>
      </c>
      <c r="D15" s="19"/>
      <c r="E15" s="19" t="s">
        <v>83</v>
      </c>
      <c r="F15" s="19" t="s">
        <v>84</v>
      </c>
      <c r="G15" s="19" t="s">
        <v>85</v>
      </c>
      <c r="H15" s="19" t="s">
        <v>86</v>
      </c>
      <c r="I15" s="19" t="s">
        <v>87</v>
      </c>
      <c r="J15" s="19" t="s">
        <v>88</v>
      </c>
      <c r="K15" s="19" t="s">
        <v>89</v>
      </c>
      <c r="N15" s="12" t="s">
        <v>62</v>
      </c>
      <c r="O15" s="14" t="s">
        <v>90</v>
      </c>
      <c r="P15" s="14">
        <v>15</v>
      </c>
      <c r="Q15" s="14">
        <v>6</v>
      </c>
      <c r="R15" s="14">
        <v>1</v>
      </c>
      <c r="S15" s="14" t="s">
        <v>90</v>
      </c>
      <c r="T15" s="15" t="s">
        <v>90</v>
      </c>
      <c r="U15" s="15">
        <v>1</v>
      </c>
      <c r="V15" s="15" t="s">
        <v>90</v>
      </c>
      <c r="W15" s="15">
        <v>1</v>
      </c>
    </row>
    <row r="16" spans="1:23" ht="15.75" thickBot="1" x14ac:dyDescent="0.3">
      <c r="A16" s="20"/>
      <c r="B16" s="20"/>
      <c r="C16" s="20" t="s">
        <v>92</v>
      </c>
      <c r="D16" s="20"/>
      <c r="E16" s="20"/>
      <c r="F16" s="20"/>
      <c r="G16" s="20"/>
      <c r="H16" s="20"/>
      <c r="I16" s="20"/>
      <c r="J16" s="20"/>
      <c r="K16" s="20"/>
      <c r="N16" s="12" t="s">
        <v>65</v>
      </c>
      <c r="O16" s="14" t="s">
        <v>90</v>
      </c>
      <c r="P16" s="14">
        <v>3</v>
      </c>
      <c r="Q16" s="14" t="s">
        <v>90</v>
      </c>
      <c r="R16" s="14">
        <v>1</v>
      </c>
      <c r="S16" s="14" t="s">
        <v>90</v>
      </c>
      <c r="T16" s="15" t="s">
        <v>90</v>
      </c>
      <c r="U16" s="15" t="s">
        <v>90</v>
      </c>
      <c r="V16" s="15">
        <v>1</v>
      </c>
      <c r="W16" s="15">
        <v>1</v>
      </c>
    </row>
    <row r="17" spans="1:23" x14ac:dyDescent="0.25">
      <c r="A17" s="12" t="s">
        <v>51</v>
      </c>
      <c r="B17" s="22">
        <v>2</v>
      </c>
      <c r="C17" s="22"/>
      <c r="D17" s="14">
        <v>9</v>
      </c>
      <c r="E17" s="14" t="s">
        <v>90</v>
      </c>
      <c r="F17" s="14">
        <v>1</v>
      </c>
      <c r="G17" s="14" t="s">
        <v>90</v>
      </c>
      <c r="H17" s="15" t="s">
        <v>90</v>
      </c>
      <c r="I17" s="15">
        <v>1</v>
      </c>
      <c r="J17" s="15">
        <v>1</v>
      </c>
      <c r="K17" s="15">
        <v>1</v>
      </c>
      <c r="N17" s="12" t="s">
        <v>48</v>
      </c>
      <c r="O17" s="14">
        <v>18</v>
      </c>
      <c r="P17" s="14">
        <v>205</v>
      </c>
      <c r="Q17" s="14">
        <v>52</v>
      </c>
      <c r="R17" s="14">
        <v>20</v>
      </c>
      <c r="S17" s="14">
        <v>19</v>
      </c>
      <c r="T17" s="15" t="s">
        <v>90</v>
      </c>
      <c r="U17" s="15">
        <v>715</v>
      </c>
      <c r="V17" s="15">
        <v>11</v>
      </c>
      <c r="W17" s="15">
        <v>209</v>
      </c>
    </row>
    <row r="18" spans="1:23" x14ac:dyDescent="0.25">
      <c r="A18" s="12" t="s">
        <v>54</v>
      </c>
      <c r="B18" s="21">
        <v>2</v>
      </c>
      <c r="C18" s="21"/>
      <c r="D18" s="14">
        <v>2</v>
      </c>
      <c r="E18" s="14" t="s">
        <v>90</v>
      </c>
      <c r="F18" s="14">
        <v>1</v>
      </c>
      <c r="G18" s="14" t="s">
        <v>90</v>
      </c>
      <c r="H18" s="15" t="s">
        <v>90</v>
      </c>
      <c r="I18" s="15" t="s">
        <v>90</v>
      </c>
      <c r="J18" s="15" t="s">
        <v>90</v>
      </c>
      <c r="K18" s="15">
        <v>1</v>
      </c>
      <c r="N18" s="12" t="s">
        <v>69</v>
      </c>
      <c r="O18" s="14">
        <v>4</v>
      </c>
      <c r="P18" s="14">
        <v>6</v>
      </c>
      <c r="Q18" s="14" t="s">
        <v>90</v>
      </c>
      <c r="R18" s="14">
        <v>1</v>
      </c>
      <c r="S18" s="14" t="s">
        <v>90</v>
      </c>
      <c r="T18" s="15" t="s">
        <v>90</v>
      </c>
      <c r="U18" s="15">
        <v>1</v>
      </c>
      <c r="V18" s="15">
        <v>1</v>
      </c>
      <c r="W18" s="15">
        <v>1</v>
      </c>
    </row>
    <row r="19" spans="1:23" x14ac:dyDescent="0.25">
      <c r="A19" s="12" t="s">
        <v>67</v>
      </c>
      <c r="B19" s="21">
        <v>12</v>
      </c>
      <c r="C19" s="21"/>
      <c r="D19" s="14">
        <v>6</v>
      </c>
      <c r="E19" s="14" t="s">
        <v>90</v>
      </c>
      <c r="F19" s="14">
        <v>1</v>
      </c>
      <c r="G19" s="14" t="s">
        <v>90</v>
      </c>
      <c r="H19" s="15" t="s">
        <v>90</v>
      </c>
      <c r="I19" s="15">
        <v>1</v>
      </c>
      <c r="J19" s="15">
        <v>1</v>
      </c>
      <c r="K19" s="15">
        <v>5</v>
      </c>
      <c r="N19" s="12" t="s">
        <v>72</v>
      </c>
      <c r="O19" s="14">
        <v>8</v>
      </c>
      <c r="P19" s="14">
        <v>14</v>
      </c>
      <c r="Q19" s="14">
        <v>1</v>
      </c>
      <c r="R19" s="14">
        <v>1</v>
      </c>
      <c r="S19" s="14" t="s">
        <v>90</v>
      </c>
      <c r="T19" s="15" t="s">
        <v>90</v>
      </c>
      <c r="U19" s="15">
        <v>5</v>
      </c>
      <c r="V19" s="15" t="s">
        <v>90</v>
      </c>
      <c r="W19" s="15">
        <v>1</v>
      </c>
    </row>
    <row r="20" spans="1:23" x14ac:dyDescent="0.25">
      <c r="A20" s="12" t="s">
        <v>68</v>
      </c>
      <c r="B20" s="21">
        <v>6</v>
      </c>
      <c r="C20" s="21"/>
      <c r="D20" s="14">
        <v>5</v>
      </c>
      <c r="E20" s="14" t="s">
        <v>90</v>
      </c>
      <c r="F20" s="14">
        <v>1</v>
      </c>
      <c r="G20" s="14" t="s">
        <v>90</v>
      </c>
      <c r="H20" s="15" t="s">
        <v>90</v>
      </c>
      <c r="I20" s="15" t="s">
        <v>90</v>
      </c>
      <c r="J20" s="15">
        <v>1</v>
      </c>
      <c r="K20" s="15" t="s">
        <v>90</v>
      </c>
      <c r="N20" s="12" t="s">
        <v>73</v>
      </c>
      <c r="O20" s="14">
        <v>8</v>
      </c>
      <c r="P20" s="14">
        <v>9</v>
      </c>
      <c r="Q20" s="14">
        <v>1</v>
      </c>
      <c r="R20" s="14">
        <v>1</v>
      </c>
      <c r="S20" s="14" t="s">
        <v>90</v>
      </c>
      <c r="T20" s="15" t="s">
        <v>90</v>
      </c>
      <c r="U20" s="15">
        <v>4</v>
      </c>
      <c r="V20" s="15" t="s">
        <v>90</v>
      </c>
      <c r="W20" s="15" t="s">
        <v>90</v>
      </c>
    </row>
    <row r="21" spans="1:23" x14ac:dyDescent="0.25">
      <c r="A21" s="12" t="s">
        <v>71</v>
      </c>
      <c r="B21" s="21" t="s">
        <v>90</v>
      </c>
      <c r="C21" s="21"/>
      <c r="D21" s="14">
        <v>15</v>
      </c>
      <c r="E21" s="14">
        <v>1</v>
      </c>
      <c r="F21" s="14">
        <v>2</v>
      </c>
      <c r="G21" s="14" t="s">
        <v>90</v>
      </c>
      <c r="H21" s="15" t="s">
        <v>90</v>
      </c>
      <c r="I21" s="15">
        <v>9</v>
      </c>
      <c r="J21" s="15">
        <v>1</v>
      </c>
      <c r="K21" s="15">
        <v>9</v>
      </c>
      <c r="N21" s="12" t="s">
        <v>74</v>
      </c>
      <c r="O21" s="14" t="s">
        <v>90</v>
      </c>
      <c r="P21" s="14">
        <v>2</v>
      </c>
      <c r="Q21" s="14" t="s">
        <v>90</v>
      </c>
      <c r="R21" s="14">
        <v>1</v>
      </c>
      <c r="S21" s="14" t="s">
        <v>90</v>
      </c>
      <c r="T21" s="15" t="s">
        <v>90</v>
      </c>
      <c r="U21" s="15" t="s">
        <v>90</v>
      </c>
      <c r="V21" s="15">
        <v>1</v>
      </c>
      <c r="W21" s="15" t="s">
        <v>90</v>
      </c>
    </row>
    <row r="22" spans="1:23" ht="15.75" thickBot="1" x14ac:dyDescent="0.3">
      <c r="A22" s="16" t="s">
        <v>93</v>
      </c>
      <c r="B22" s="23">
        <f>SUM(B17:C21)</f>
        <v>22</v>
      </c>
      <c r="C22" s="23"/>
      <c r="D22" s="23">
        <f t="shared" ref="D22:K22" si="0">SUM(D17:E21)</f>
        <v>38</v>
      </c>
      <c r="E22" s="23"/>
      <c r="F22" s="23">
        <f t="shared" ref="F22:K22" si="1">SUM(F17:G21)</f>
        <v>6</v>
      </c>
      <c r="G22" s="23"/>
      <c r="H22" s="23">
        <f t="shared" ref="H22:K22" si="2">SUM(H17:I21)</f>
        <v>11</v>
      </c>
      <c r="I22" s="23"/>
      <c r="J22" s="23">
        <f t="shared" ref="J22:K22" si="3">SUM(J17:K21)</f>
        <v>20</v>
      </c>
      <c r="K22" s="23"/>
      <c r="N22" s="12" t="s">
        <v>76</v>
      </c>
      <c r="O22" s="14">
        <v>5</v>
      </c>
      <c r="P22" s="14">
        <v>5</v>
      </c>
      <c r="Q22" s="14" t="s">
        <v>90</v>
      </c>
      <c r="R22" s="14">
        <v>1</v>
      </c>
      <c r="S22" s="14" t="s">
        <v>90</v>
      </c>
      <c r="T22" s="15">
        <v>2</v>
      </c>
      <c r="U22" s="15">
        <v>1</v>
      </c>
      <c r="V22" s="15">
        <v>1</v>
      </c>
      <c r="W22" s="15">
        <v>2</v>
      </c>
    </row>
    <row r="23" spans="1:23" ht="15.75" thickBot="1" x14ac:dyDescent="0.3">
      <c r="N23" s="17"/>
      <c r="O23" s="18">
        <f>SUM(O11:O22)</f>
        <v>60</v>
      </c>
      <c r="P23" s="18">
        <f t="shared" ref="P23:W23" si="4">SUM(P11:P22)</f>
        <v>288</v>
      </c>
      <c r="Q23" s="18">
        <f t="shared" si="4"/>
        <v>60</v>
      </c>
      <c r="R23" s="18">
        <f t="shared" si="4"/>
        <v>31</v>
      </c>
      <c r="S23" s="18">
        <f t="shared" si="4"/>
        <v>19</v>
      </c>
      <c r="T23" s="18">
        <f t="shared" si="4"/>
        <v>2</v>
      </c>
      <c r="U23" s="18">
        <f t="shared" si="4"/>
        <v>728</v>
      </c>
      <c r="V23" s="18">
        <f t="shared" si="4"/>
        <v>19</v>
      </c>
      <c r="W23" s="18">
        <f t="shared" si="4"/>
        <v>217</v>
      </c>
    </row>
    <row r="24" spans="1:23" ht="15.75" thickBot="1" x14ac:dyDescent="0.3"/>
    <row r="25" spans="1:23" ht="44.25" customHeight="1" x14ac:dyDescent="0.25">
      <c r="B25" s="19" t="s">
        <v>80</v>
      </c>
      <c r="C25" s="28" t="s">
        <v>81</v>
      </c>
      <c r="D25" s="28" t="s">
        <v>91</v>
      </c>
      <c r="E25" s="28"/>
      <c r="F25" s="28" t="s">
        <v>83</v>
      </c>
      <c r="G25" s="19" t="s">
        <v>84</v>
      </c>
      <c r="H25" s="19" t="s">
        <v>85</v>
      </c>
      <c r="I25" s="19" t="s">
        <v>86</v>
      </c>
      <c r="J25" s="19" t="s">
        <v>87</v>
      </c>
      <c r="K25" s="19" t="s">
        <v>88</v>
      </c>
      <c r="L25" s="19" t="s">
        <v>89</v>
      </c>
    </row>
    <row r="26" spans="1:23" ht="15.75" customHeight="1" thickBot="1" x14ac:dyDescent="0.3">
      <c r="B26" s="20"/>
      <c r="C26" s="30"/>
      <c r="D26" s="30" t="s">
        <v>92</v>
      </c>
      <c r="E26" s="30"/>
      <c r="F26" s="30"/>
      <c r="G26" s="20"/>
      <c r="H26" s="20"/>
      <c r="I26" s="20"/>
      <c r="J26" s="20"/>
      <c r="K26" s="20"/>
      <c r="L26" s="20"/>
    </row>
    <row r="27" spans="1:23" x14ac:dyDescent="0.25">
      <c r="B27" s="12" t="s">
        <v>41</v>
      </c>
      <c r="C27" s="29" t="s">
        <v>90</v>
      </c>
      <c r="D27" s="29"/>
      <c r="E27" s="14">
        <v>3</v>
      </c>
      <c r="F27" s="14" t="s">
        <v>90</v>
      </c>
      <c r="G27" s="14">
        <v>1</v>
      </c>
      <c r="H27" s="14" t="s">
        <v>90</v>
      </c>
      <c r="I27" s="15" t="s">
        <v>90</v>
      </c>
      <c r="J27" s="15" t="s">
        <v>90</v>
      </c>
      <c r="K27" s="15" t="s">
        <v>90</v>
      </c>
      <c r="L27" s="15" t="s">
        <v>90</v>
      </c>
    </row>
    <row r="28" spans="1:23" x14ac:dyDescent="0.25">
      <c r="B28" s="12" t="s">
        <v>46</v>
      </c>
      <c r="C28" s="12">
        <v>3</v>
      </c>
      <c r="D28" s="12"/>
      <c r="E28" s="14">
        <v>5</v>
      </c>
      <c r="F28" s="14" t="s">
        <v>90</v>
      </c>
      <c r="G28" s="14">
        <v>1</v>
      </c>
      <c r="H28" s="14" t="s">
        <v>90</v>
      </c>
      <c r="I28" s="15" t="s">
        <v>90</v>
      </c>
      <c r="J28" s="15" t="s">
        <v>90</v>
      </c>
      <c r="K28" s="15" t="s">
        <v>90</v>
      </c>
      <c r="L28" s="15" t="s">
        <v>90</v>
      </c>
    </row>
    <row r="29" spans="1:23" x14ac:dyDescent="0.25">
      <c r="B29" s="12" t="s">
        <v>53</v>
      </c>
      <c r="C29" s="12" t="s">
        <v>90</v>
      </c>
      <c r="D29" s="12"/>
      <c r="E29" s="14">
        <v>5</v>
      </c>
      <c r="F29" s="14" t="s">
        <v>90</v>
      </c>
      <c r="G29" s="14">
        <v>1</v>
      </c>
      <c r="H29" s="14" t="s">
        <v>90</v>
      </c>
      <c r="I29" s="15" t="s">
        <v>90</v>
      </c>
      <c r="J29" s="15">
        <v>2</v>
      </c>
      <c r="K29" s="15">
        <v>1</v>
      </c>
      <c r="L29" s="15">
        <v>1</v>
      </c>
    </row>
    <row r="30" spans="1:23" x14ac:dyDescent="0.25">
      <c r="B30" s="12" t="s">
        <v>60</v>
      </c>
      <c r="C30" s="12" t="s">
        <v>90</v>
      </c>
      <c r="D30" s="12"/>
      <c r="E30" s="14">
        <v>4</v>
      </c>
      <c r="F30" s="14" t="s">
        <v>90</v>
      </c>
      <c r="G30" s="14">
        <v>1</v>
      </c>
      <c r="H30" s="14" t="s">
        <v>90</v>
      </c>
      <c r="I30" s="15" t="s">
        <v>90</v>
      </c>
      <c r="J30" s="15" t="s">
        <v>90</v>
      </c>
      <c r="K30" s="15">
        <v>1</v>
      </c>
      <c r="L30" s="15" t="s">
        <v>90</v>
      </c>
    </row>
    <row r="31" spans="1:23" x14ac:dyDescent="0.25">
      <c r="B31" s="12" t="s">
        <v>64</v>
      </c>
      <c r="C31" s="12">
        <v>1</v>
      </c>
      <c r="D31" s="12"/>
      <c r="E31" s="14">
        <v>2</v>
      </c>
      <c r="F31" s="14" t="s">
        <v>90</v>
      </c>
      <c r="G31" s="14">
        <v>1</v>
      </c>
      <c r="H31" s="14" t="s">
        <v>90</v>
      </c>
      <c r="I31" s="15" t="s">
        <v>90</v>
      </c>
      <c r="J31" s="15" t="s">
        <v>90</v>
      </c>
      <c r="K31" s="15">
        <v>1</v>
      </c>
      <c r="L31" s="15" t="s">
        <v>90</v>
      </c>
    </row>
    <row r="32" spans="1:23" x14ac:dyDescent="0.25">
      <c r="B32" s="12" t="s">
        <v>75</v>
      </c>
      <c r="C32" s="12">
        <v>1</v>
      </c>
      <c r="D32" s="12"/>
      <c r="E32" s="14">
        <v>6</v>
      </c>
      <c r="F32" s="14">
        <v>1</v>
      </c>
      <c r="G32" s="14">
        <v>2</v>
      </c>
      <c r="H32" s="14" t="s">
        <v>90</v>
      </c>
      <c r="I32" s="15" t="s">
        <v>90</v>
      </c>
      <c r="J32" s="15">
        <v>1</v>
      </c>
      <c r="K32" s="15">
        <v>1</v>
      </c>
      <c r="L32" s="15" t="s">
        <v>90</v>
      </c>
    </row>
    <row r="33" spans="2:12" x14ac:dyDescent="0.25">
      <c r="B33" s="12" t="s">
        <v>77</v>
      </c>
      <c r="C33" s="12" t="s">
        <v>90</v>
      </c>
      <c r="D33" s="12"/>
      <c r="E33" s="14">
        <v>6</v>
      </c>
      <c r="F33" s="14" t="s">
        <v>90</v>
      </c>
      <c r="G33" s="14">
        <v>1</v>
      </c>
      <c r="H33" s="14" t="s">
        <v>90</v>
      </c>
      <c r="I33" s="15" t="s">
        <v>90</v>
      </c>
      <c r="J33" s="15" t="s">
        <v>90</v>
      </c>
      <c r="K33" s="15">
        <v>1</v>
      </c>
      <c r="L33" s="15" t="s">
        <v>90</v>
      </c>
    </row>
    <row r="34" spans="2:12" x14ac:dyDescent="0.25">
      <c r="B34" s="12" t="s">
        <v>78</v>
      </c>
      <c r="C34" s="12" t="s">
        <v>90</v>
      </c>
      <c r="D34" s="12"/>
      <c r="E34" s="14">
        <v>8</v>
      </c>
      <c r="F34" s="14">
        <v>3</v>
      </c>
      <c r="G34" s="14">
        <v>2</v>
      </c>
      <c r="H34" s="14">
        <v>1</v>
      </c>
      <c r="I34" s="15" t="s">
        <v>90</v>
      </c>
      <c r="J34" s="15" t="s">
        <v>90</v>
      </c>
      <c r="K34" s="15">
        <v>1</v>
      </c>
      <c r="L34" s="15">
        <v>7</v>
      </c>
    </row>
    <row r="35" spans="2:12" x14ac:dyDescent="0.25">
      <c r="B35" s="12" t="s">
        <v>79</v>
      </c>
      <c r="C35" s="12">
        <v>1</v>
      </c>
      <c r="D35" s="12"/>
      <c r="E35" s="14">
        <v>4</v>
      </c>
      <c r="F35" s="14" t="s">
        <v>90</v>
      </c>
      <c r="G35" s="14">
        <v>1</v>
      </c>
      <c r="H35" s="14" t="s">
        <v>90</v>
      </c>
      <c r="I35" s="15" t="s">
        <v>90</v>
      </c>
      <c r="J35" s="15" t="s">
        <v>90</v>
      </c>
      <c r="K35" s="15">
        <v>1</v>
      </c>
      <c r="L35" s="15" t="s">
        <v>90</v>
      </c>
    </row>
    <row r="36" spans="2:12" ht="15.75" thickBot="1" x14ac:dyDescent="0.3">
      <c r="B36" s="24"/>
      <c r="C36" s="24">
        <f>SUM(C27:D35)</f>
        <v>6</v>
      </c>
      <c r="D36" s="24"/>
      <c r="E36" s="24">
        <f t="shared" ref="E36:L36" si="5">SUM(E27:F35)</f>
        <v>47</v>
      </c>
      <c r="F36" s="24"/>
      <c r="G36" s="27">
        <f t="shared" ref="G36:L36" si="6">SUM(G27:H35)</f>
        <v>12</v>
      </c>
      <c r="H36" s="27"/>
      <c r="I36" s="27">
        <f t="shared" ref="I36:L36" si="7">SUM(I27:J35)</f>
        <v>3</v>
      </c>
      <c r="J36" s="27"/>
      <c r="K36" s="27">
        <f t="shared" ref="K36:L36" si="8">SUM(K27:L35)</f>
        <v>15</v>
      </c>
      <c r="L36" s="27"/>
    </row>
    <row r="40" spans="2:12" x14ac:dyDescent="0.25">
      <c r="C40" s="14">
        <v>2</v>
      </c>
      <c r="D40" s="14">
        <v>9</v>
      </c>
      <c r="E40" s="14" t="s">
        <v>90</v>
      </c>
      <c r="F40" s="14">
        <v>1</v>
      </c>
      <c r="G40" s="14" t="s">
        <v>90</v>
      </c>
      <c r="H40" s="15" t="s">
        <v>90</v>
      </c>
      <c r="I40" s="15">
        <v>1</v>
      </c>
      <c r="J40" s="15">
        <v>1</v>
      </c>
      <c r="K40" s="15">
        <v>1</v>
      </c>
    </row>
    <row r="41" spans="2:12" x14ac:dyDescent="0.25">
      <c r="C41" s="14">
        <v>2</v>
      </c>
      <c r="D41" s="14">
        <v>2</v>
      </c>
      <c r="E41" s="14" t="s">
        <v>90</v>
      </c>
      <c r="F41" s="14">
        <v>1</v>
      </c>
      <c r="G41" s="14" t="s">
        <v>90</v>
      </c>
      <c r="H41" s="15" t="s">
        <v>90</v>
      </c>
      <c r="I41" s="15" t="s">
        <v>90</v>
      </c>
      <c r="J41" s="15" t="s">
        <v>90</v>
      </c>
      <c r="K41" s="15">
        <v>1</v>
      </c>
    </row>
    <row r="42" spans="2:12" x14ac:dyDescent="0.25">
      <c r="C42" s="14">
        <v>12</v>
      </c>
      <c r="D42" s="14">
        <v>6</v>
      </c>
      <c r="E42" s="14" t="s">
        <v>90</v>
      </c>
      <c r="F42" s="14">
        <v>1</v>
      </c>
      <c r="G42" s="14" t="s">
        <v>90</v>
      </c>
      <c r="H42" s="15" t="s">
        <v>90</v>
      </c>
      <c r="I42" s="15">
        <v>1</v>
      </c>
      <c r="J42" s="15">
        <v>1</v>
      </c>
      <c r="K42" s="15">
        <v>5</v>
      </c>
    </row>
    <row r="43" spans="2:12" x14ac:dyDescent="0.25">
      <c r="C43" s="14">
        <v>6</v>
      </c>
      <c r="D43" s="14">
        <v>5</v>
      </c>
      <c r="E43" s="14" t="s">
        <v>90</v>
      </c>
      <c r="F43" s="14">
        <v>1</v>
      </c>
      <c r="G43" s="14" t="s">
        <v>90</v>
      </c>
      <c r="H43" s="15" t="s">
        <v>90</v>
      </c>
      <c r="I43" s="15" t="s">
        <v>90</v>
      </c>
      <c r="J43" s="15">
        <v>1</v>
      </c>
      <c r="K43" s="15" t="s">
        <v>90</v>
      </c>
    </row>
    <row r="44" spans="2:12" ht="15.75" thickBot="1" x14ac:dyDescent="0.3">
      <c r="C44" s="25" t="s">
        <v>90</v>
      </c>
      <c r="D44" s="25">
        <v>15</v>
      </c>
      <c r="E44" s="25">
        <v>1</v>
      </c>
      <c r="F44" s="25">
        <v>2</v>
      </c>
      <c r="G44" s="25" t="s">
        <v>90</v>
      </c>
      <c r="H44" s="26" t="s">
        <v>90</v>
      </c>
      <c r="I44" s="26">
        <v>9</v>
      </c>
      <c r="J44" s="26">
        <v>1</v>
      </c>
      <c r="K44" s="26">
        <v>9</v>
      </c>
    </row>
    <row r="45" spans="2:12" x14ac:dyDescent="0.25">
      <c r="C45">
        <f>SUM(C40:C44)</f>
        <v>22</v>
      </c>
      <c r="D45">
        <f t="shared" ref="D45:K45" si="9">SUM(D40:D44)</f>
        <v>37</v>
      </c>
      <c r="E45">
        <f t="shared" si="9"/>
        <v>1</v>
      </c>
      <c r="F45">
        <f t="shared" si="9"/>
        <v>6</v>
      </c>
      <c r="G45">
        <f t="shared" si="9"/>
        <v>0</v>
      </c>
      <c r="H45">
        <f t="shared" si="9"/>
        <v>0</v>
      </c>
      <c r="I45">
        <f t="shared" si="9"/>
        <v>11</v>
      </c>
      <c r="J45">
        <f t="shared" si="9"/>
        <v>4</v>
      </c>
      <c r="K45">
        <f t="shared" si="9"/>
        <v>16</v>
      </c>
    </row>
    <row r="46" spans="2:12" ht="15.75" thickBot="1" x14ac:dyDescent="0.3"/>
    <row r="47" spans="2:12" x14ac:dyDescent="0.25">
      <c r="B47" s="13" t="s">
        <v>90</v>
      </c>
      <c r="C47" s="13">
        <v>13</v>
      </c>
      <c r="D47" s="14" t="s">
        <v>90</v>
      </c>
      <c r="E47" s="14">
        <v>1</v>
      </c>
      <c r="F47" s="14" t="s">
        <v>90</v>
      </c>
      <c r="G47" s="15" t="s">
        <v>90</v>
      </c>
      <c r="H47" s="15" t="s">
        <v>90</v>
      </c>
      <c r="I47" s="15" t="s">
        <v>90</v>
      </c>
      <c r="J47" s="15">
        <v>1</v>
      </c>
    </row>
    <row r="48" spans="2:12" x14ac:dyDescent="0.25">
      <c r="B48" s="14">
        <v>1</v>
      </c>
      <c r="C48" s="14">
        <v>2</v>
      </c>
      <c r="D48" s="14" t="s">
        <v>90</v>
      </c>
      <c r="E48" s="14">
        <v>1</v>
      </c>
      <c r="F48" s="14" t="s">
        <v>90</v>
      </c>
      <c r="G48" s="15" t="s">
        <v>90</v>
      </c>
      <c r="H48" s="15">
        <v>1</v>
      </c>
      <c r="I48" s="15">
        <v>2</v>
      </c>
      <c r="J48" s="15" t="s">
        <v>90</v>
      </c>
    </row>
    <row r="49" spans="2:10" x14ac:dyDescent="0.25">
      <c r="B49" s="14" t="s">
        <v>90</v>
      </c>
      <c r="C49" s="14">
        <v>14</v>
      </c>
      <c r="D49" s="14" t="s">
        <v>90</v>
      </c>
      <c r="E49" s="14">
        <v>1</v>
      </c>
      <c r="F49" s="14" t="s">
        <v>90</v>
      </c>
      <c r="G49" s="15" t="s">
        <v>90</v>
      </c>
      <c r="H49" s="15" t="s">
        <v>90</v>
      </c>
      <c r="I49" s="15">
        <v>1</v>
      </c>
      <c r="J49" s="15">
        <v>1</v>
      </c>
    </row>
    <row r="50" spans="2:10" x14ac:dyDescent="0.25">
      <c r="B50" s="14">
        <v>16</v>
      </c>
      <c r="C50" s="14" t="s">
        <v>90</v>
      </c>
      <c r="D50" s="14" t="s">
        <v>90</v>
      </c>
      <c r="E50" s="14">
        <v>1</v>
      </c>
      <c r="F50" s="14" t="s">
        <v>90</v>
      </c>
      <c r="G50" s="15" t="s">
        <v>90</v>
      </c>
      <c r="H50" s="15" t="s">
        <v>90</v>
      </c>
      <c r="I50" s="15">
        <v>1</v>
      </c>
      <c r="J50" s="15" t="s">
        <v>90</v>
      </c>
    </row>
    <row r="51" spans="2:10" x14ac:dyDescent="0.25">
      <c r="B51" s="14" t="s">
        <v>90</v>
      </c>
      <c r="C51" s="14">
        <v>15</v>
      </c>
      <c r="D51" s="14">
        <v>6</v>
      </c>
      <c r="E51" s="14">
        <v>1</v>
      </c>
      <c r="F51" s="14" t="s">
        <v>90</v>
      </c>
      <c r="G51" s="15" t="s">
        <v>90</v>
      </c>
      <c r="H51" s="15">
        <v>1</v>
      </c>
      <c r="I51" s="15" t="s">
        <v>90</v>
      </c>
      <c r="J51" s="15">
        <v>1</v>
      </c>
    </row>
    <row r="52" spans="2:10" x14ac:dyDescent="0.25">
      <c r="B52" s="14" t="s">
        <v>90</v>
      </c>
      <c r="C52" s="14">
        <v>3</v>
      </c>
      <c r="D52" s="14" t="s">
        <v>90</v>
      </c>
      <c r="E52" s="14">
        <v>1</v>
      </c>
      <c r="F52" s="14" t="s">
        <v>90</v>
      </c>
      <c r="G52" s="15" t="s">
        <v>90</v>
      </c>
      <c r="H52" s="15" t="s">
        <v>90</v>
      </c>
      <c r="I52" s="15">
        <v>1</v>
      </c>
      <c r="J52" s="15">
        <v>1</v>
      </c>
    </row>
    <row r="53" spans="2:10" x14ac:dyDescent="0.25">
      <c r="B53" s="14">
        <v>18</v>
      </c>
      <c r="C53" s="14">
        <v>205</v>
      </c>
      <c r="D53" s="14">
        <v>52</v>
      </c>
      <c r="E53" s="14">
        <v>20</v>
      </c>
      <c r="F53" s="14">
        <v>19</v>
      </c>
      <c r="G53" s="15" t="s">
        <v>90</v>
      </c>
      <c r="H53" s="15">
        <v>715</v>
      </c>
      <c r="I53" s="15">
        <v>11</v>
      </c>
      <c r="J53" s="15">
        <v>209</v>
      </c>
    </row>
    <row r="54" spans="2:10" x14ac:dyDescent="0.25">
      <c r="B54" s="14">
        <v>4</v>
      </c>
      <c r="C54" s="14">
        <v>6</v>
      </c>
      <c r="D54" s="14" t="s">
        <v>90</v>
      </c>
      <c r="E54" s="14">
        <v>1</v>
      </c>
      <c r="F54" s="14" t="s">
        <v>90</v>
      </c>
      <c r="G54" s="15" t="s">
        <v>90</v>
      </c>
      <c r="H54" s="15">
        <v>1</v>
      </c>
      <c r="I54" s="15">
        <v>1</v>
      </c>
      <c r="J54" s="15">
        <v>1</v>
      </c>
    </row>
    <row r="55" spans="2:10" x14ac:dyDescent="0.25">
      <c r="B55" s="14">
        <v>8</v>
      </c>
      <c r="C55" s="14">
        <v>14</v>
      </c>
      <c r="D55" s="14">
        <v>1</v>
      </c>
      <c r="E55" s="14">
        <v>1</v>
      </c>
      <c r="F55" s="14" t="s">
        <v>90</v>
      </c>
      <c r="G55" s="15" t="s">
        <v>90</v>
      </c>
      <c r="H55" s="15">
        <v>5</v>
      </c>
      <c r="I55" s="15" t="s">
        <v>90</v>
      </c>
      <c r="J55" s="15">
        <v>1</v>
      </c>
    </row>
    <row r="56" spans="2:10" x14ac:dyDescent="0.25">
      <c r="B56" s="14">
        <v>8</v>
      </c>
      <c r="C56" s="14">
        <v>9</v>
      </c>
      <c r="D56" s="14">
        <v>1</v>
      </c>
      <c r="E56" s="14">
        <v>1</v>
      </c>
      <c r="F56" s="14" t="s">
        <v>90</v>
      </c>
      <c r="G56" s="15" t="s">
        <v>90</v>
      </c>
      <c r="H56" s="15">
        <v>4</v>
      </c>
      <c r="I56" s="15" t="s">
        <v>90</v>
      </c>
      <c r="J56" s="15" t="s">
        <v>90</v>
      </c>
    </row>
    <row r="57" spans="2:10" x14ac:dyDescent="0.25">
      <c r="B57" s="14" t="s">
        <v>90</v>
      </c>
      <c r="C57" s="14">
        <v>2</v>
      </c>
      <c r="D57" s="14" t="s">
        <v>90</v>
      </c>
      <c r="E57" s="14">
        <v>1</v>
      </c>
      <c r="F57" s="14" t="s">
        <v>90</v>
      </c>
      <c r="G57" s="15" t="s">
        <v>90</v>
      </c>
      <c r="H57" s="15" t="s">
        <v>90</v>
      </c>
      <c r="I57" s="15">
        <v>1</v>
      </c>
      <c r="J57" s="15" t="s">
        <v>90</v>
      </c>
    </row>
    <row r="58" spans="2:10" ht="15.75" thickBot="1" x14ac:dyDescent="0.3">
      <c r="B58" s="25">
        <v>5</v>
      </c>
      <c r="C58" s="25">
        <v>5</v>
      </c>
      <c r="D58" s="25" t="s">
        <v>90</v>
      </c>
      <c r="E58" s="25">
        <v>1</v>
      </c>
      <c r="F58" s="25" t="s">
        <v>90</v>
      </c>
      <c r="G58" s="26">
        <v>2</v>
      </c>
      <c r="H58" s="26">
        <v>1</v>
      </c>
      <c r="I58" s="26">
        <v>1</v>
      </c>
      <c r="J58" s="26">
        <v>2</v>
      </c>
    </row>
    <row r="59" spans="2:10" x14ac:dyDescent="0.25">
      <c r="B59">
        <f>SUM(B47:B58)</f>
        <v>60</v>
      </c>
      <c r="C59">
        <f t="shared" ref="C59:J59" si="10">SUM(C47:C58)</f>
        <v>288</v>
      </c>
      <c r="D59">
        <f t="shared" si="10"/>
        <v>60</v>
      </c>
      <c r="E59">
        <f t="shared" si="10"/>
        <v>31</v>
      </c>
      <c r="F59">
        <f t="shared" si="10"/>
        <v>19</v>
      </c>
      <c r="G59">
        <f t="shared" si="10"/>
        <v>2</v>
      </c>
      <c r="H59">
        <f t="shared" si="10"/>
        <v>728</v>
      </c>
      <c r="I59">
        <f t="shared" si="10"/>
        <v>19</v>
      </c>
      <c r="J59">
        <f t="shared" si="10"/>
        <v>217</v>
      </c>
    </row>
    <row r="61" spans="2:10" ht="15.75" thickBot="1" x14ac:dyDescent="0.3"/>
    <row r="62" spans="2:10" x14ac:dyDescent="0.25">
      <c r="B62" s="13" t="s">
        <v>90</v>
      </c>
      <c r="C62" s="13">
        <v>3</v>
      </c>
      <c r="D62" s="14" t="s">
        <v>90</v>
      </c>
      <c r="E62" s="14">
        <v>1</v>
      </c>
      <c r="F62" s="14" t="s">
        <v>90</v>
      </c>
      <c r="G62" s="15" t="s">
        <v>90</v>
      </c>
      <c r="H62" s="15" t="s">
        <v>90</v>
      </c>
      <c r="I62" s="15" t="s">
        <v>90</v>
      </c>
      <c r="J62" s="15" t="s">
        <v>90</v>
      </c>
    </row>
    <row r="63" spans="2:10" x14ac:dyDescent="0.25">
      <c r="B63" s="14">
        <v>3</v>
      </c>
      <c r="C63" s="14">
        <v>5</v>
      </c>
      <c r="D63" s="14" t="s">
        <v>90</v>
      </c>
      <c r="E63" s="14">
        <v>1</v>
      </c>
      <c r="F63" s="14" t="s">
        <v>90</v>
      </c>
      <c r="G63" s="15" t="s">
        <v>90</v>
      </c>
      <c r="H63" s="15" t="s">
        <v>90</v>
      </c>
      <c r="I63" s="15" t="s">
        <v>90</v>
      </c>
      <c r="J63" s="15" t="s">
        <v>90</v>
      </c>
    </row>
    <row r="64" spans="2:10" x14ac:dyDescent="0.25">
      <c r="B64" s="14" t="s">
        <v>90</v>
      </c>
      <c r="C64" s="14">
        <v>5</v>
      </c>
      <c r="D64" s="14" t="s">
        <v>90</v>
      </c>
      <c r="E64" s="14">
        <v>1</v>
      </c>
      <c r="F64" s="14" t="s">
        <v>90</v>
      </c>
      <c r="G64" s="15" t="s">
        <v>90</v>
      </c>
      <c r="H64" s="15">
        <v>2</v>
      </c>
      <c r="I64" s="15">
        <v>1</v>
      </c>
      <c r="J64" s="15">
        <v>1</v>
      </c>
    </row>
    <row r="65" spans="2:10" x14ac:dyDescent="0.25">
      <c r="B65" s="14" t="s">
        <v>90</v>
      </c>
      <c r="C65" s="14">
        <v>4</v>
      </c>
      <c r="D65" s="14" t="s">
        <v>90</v>
      </c>
      <c r="E65" s="14">
        <v>1</v>
      </c>
      <c r="F65" s="14" t="s">
        <v>90</v>
      </c>
      <c r="G65" s="15" t="s">
        <v>90</v>
      </c>
      <c r="H65" s="15" t="s">
        <v>90</v>
      </c>
      <c r="I65" s="15">
        <v>1</v>
      </c>
      <c r="J65" s="15" t="s">
        <v>90</v>
      </c>
    </row>
    <row r="66" spans="2:10" x14ac:dyDescent="0.25">
      <c r="B66" s="14">
        <v>1</v>
      </c>
      <c r="C66" s="14">
        <v>2</v>
      </c>
      <c r="D66" s="14" t="s">
        <v>90</v>
      </c>
      <c r="E66" s="14">
        <v>1</v>
      </c>
      <c r="F66" s="14" t="s">
        <v>90</v>
      </c>
      <c r="G66" s="15" t="s">
        <v>90</v>
      </c>
      <c r="H66" s="15" t="s">
        <v>90</v>
      </c>
      <c r="I66" s="15">
        <v>1</v>
      </c>
      <c r="J66" s="15" t="s">
        <v>90</v>
      </c>
    </row>
    <row r="67" spans="2:10" x14ac:dyDescent="0.25">
      <c r="B67" s="14">
        <v>1</v>
      </c>
      <c r="C67" s="14">
        <v>6</v>
      </c>
      <c r="D67" s="14">
        <v>1</v>
      </c>
      <c r="E67" s="14">
        <v>2</v>
      </c>
      <c r="F67" s="14" t="s">
        <v>90</v>
      </c>
      <c r="G67" s="15" t="s">
        <v>90</v>
      </c>
      <c r="H67" s="15">
        <v>1</v>
      </c>
      <c r="I67" s="15">
        <v>1</v>
      </c>
      <c r="J67" s="15" t="s">
        <v>90</v>
      </c>
    </row>
    <row r="68" spans="2:10" x14ac:dyDescent="0.25">
      <c r="B68" s="14" t="s">
        <v>90</v>
      </c>
      <c r="C68" s="14">
        <v>6</v>
      </c>
      <c r="D68" s="14" t="s">
        <v>90</v>
      </c>
      <c r="E68" s="14">
        <v>1</v>
      </c>
      <c r="F68" s="14" t="s">
        <v>90</v>
      </c>
      <c r="G68" s="15" t="s">
        <v>90</v>
      </c>
      <c r="H68" s="15" t="s">
        <v>90</v>
      </c>
      <c r="I68" s="15">
        <v>1</v>
      </c>
      <c r="J68" s="15" t="s">
        <v>90</v>
      </c>
    </row>
    <row r="69" spans="2:10" x14ac:dyDescent="0.25">
      <c r="B69" s="14" t="s">
        <v>90</v>
      </c>
      <c r="C69" s="14">
        <v>8</v>
      </c>
      <c r="D69" s="14">
        <v>3</v>
      </c>
      <c r="E69" s="14">
        <v>2</v>
      </c>
      <c r="F69" s="14">
        <v>1</v>
      </c>
      <c r="G69" s="15" t="s">
        <v>90</v>
      </c>
      <c r="H69" s="15" t="s">
        <v>90</v>
      </c>
      <c r="I69" s="15">
        <v>1</v>
      </c>
      <c r="J69" s="15">
        <v>7</v>
      </c>
    </row>
    <row r="70" spans="2:10" x14ac:dyDescent="0.25">
      <c r="B70" s="14">
        <v>1</v>
      </c>
      <c r="C70" s="14">
        <v>4</v>
      </c>
      <c r="D70" s="14" t="s">
        <v>90</v>
      </c>
      <c r="E70" s="14">
        <v>1</v>
      </c>
      <c r="F70" s="14" t="s">
        <v>90</v>
      </c>
      <c r="G70" s="15" t="s">
        <v>90</v>
      </c>
      <c r="H70" s="15" t="s">
        <v>90</v>
      </c>
      <c r="I70" s="15">
        <v>1</v>
      </c>
      <c r="J70" s="15" t="s">
        <v>90</v>
      </c>
    </row>
    <row r="71" spans="2:10" ht="15.75" thickBot="1" x14ac:dyDescent="0.3">
      <c r="B71">
        <f>SUM(B72:B77)</f>
        <v>1</v>
      </c>
      <c r="C71">
        <f t="shared" ref="C71:J71" si="11">SUM(C72:C77)</f>
        <v>37</v>
      </c>
      <c r="D71">
        <f t="shared" si="11"/>
        <v>6</v>
      </c>
      <c r="E71">
        <f t="shared" si="11"/>
        <v>7</v>
      </c>
      <c r="F71">
        <f t="shared" si="11"/>
        <v>0</v>
      </c>
      <c r="G71">
        <f t="shared" si="11"/>
        <v>0</v>
      </c>
      <c r="H71">
        <f t="shared" si="11"/>
        <v>9</v>
      </c>
      <c r="I71">
        <f t="shared" si="11"/>
        <v>5</v>
      </c>
      <c r="J71">
        <f t="shared" si="11"/>
        <v>9</v>
      </c>
    </row>
    <row r="72" spans="2:10" x14ac:dyDescent="0.25">
      <c r="B72" s="13" t="s">
        <v>90</v>
      </c>
      <c r="C72" s="13">
        <v>15</v>
      </c>
      <c r="D72" s="14">
        <v>6</v>
      </c>
      <c r="E72" s="31">
        <v>1</v>
      </c>
      <c r="F72" s="14" t="s">
        <v>90</v>
      </c>
      <c r="G72" s="15" t="s">
        <v>90</v>
      </c>
      <c r="H72" s="15">
        <v>8</v>
      </c>
      <c r="I72" s="15">
        <v>1</v>
      </c>
      <c r="J72" s="15">
        <v>7</v>
      </c>
    </row>
    <row r="73" spans="2:10" x14ac:dyDescent="0.25">
      <c r="B73" s="14" t="s">
        <v>90</v>
      </c>
      <c r="C73" s="14">
        <v>3</v>
      </c>
      <c r="D73" s="14" t="s">
        <v>90</v>
      </c>
      <c r="E73" s="14">
        <v>1</v>
      </c>
      <c r="F73" s="14" t="s">
        <v>90</v>
      </c>
      <c r="G73" s="15" t="s">
        <v>90</v>
      </c>
      <c r="H73" s="15" t="s">
        <v>90</v>
      </c>
      <c r="I73" s="15">
        <v>1</v>
      </c>
      <c r="J73" s="15" t="s">
        <v>90</v>
      </c>
    </row>
    <row r="74" spans="2:10" x14ac:dyDescent="0.25">
      <c r="B74" s="14" t="s">
        <v>90</v>
      </c>
      <c r="C74" s="14">
        <v>4</v>
      </c>
      <c r="D74" s="14" t="s">
        <v>90</v>
      </c>
      <c r="E74" s="14">
        <v>1</v>
      </c>
      <c r="F74" s="14" t="s">
        <v>90</v>
      </c>
      <c r="G74" s="15" t="s">
        <v>90</v>
      </c>
      <c r="H74" s="15" t="s">
        <v>90</v>
      </c>
      <c r="I74" s="15">
        <v>1</v>
      </c>
      <c r="J74" s="15" t="s">
        <v>90</v>
      </c>
    </row>
    <row r="75" spans="2:10" x14ac:dyDescent="0.25">
      <c r="B75" s="14" t="s">
        <v>90</v>
      </c>
      <c r="C75" s="14">
        <v>5</v>
      </c>
      <c r="D75" s="14" t="s">
        <v>90</v>
      </c>
      <c r="E75" s="14">
        <v>1</v>
      </c>
      <c r="F75" s="14" t="s">
        <v>90</v>
      </c>
      <c r="G75" s="15" t="s">
        <v>90</v>
      </c>
      <c r="H75" s="15" t="s">
        <v>90</v>
      </c>
      <c r="I75" s="15" t="s">
        <v>90</v>
      </c>
      <c r="J75" s="15" t="s">
        <v>90</v>
      </c>
    </row>
    <row r="76" spans="2:10" x14ac:dyDescent="0.25">
      <c r="B76" s="14" t="s">
        <v>90</v>
      </c>
      <c r="C76" s="14">
        <v>5</v>
      </c>
      <c r="D76" s="14" t="s">
        <v>90</v>
      </c>
      <c r="E76" s="14">
        <v>1</v>
      </c>
      <c r="F76" s="14" t="s">
        <v>90</v>
      </c>
      <c r="G76" s="15" t="s">
        <v>90</v>
      </c>
      <c r="H76" s="15">
        <v>1</v>
      </c>
      <c r="I76" s="15">
        <v>1</v>
      </c>
      <c r="J76" s="15" t="s">
        <v>90</v>
      </c>
    </row>
    <row r="77" spans="2:10" x14ac:dyDescent="0.25">
      <c r="B77" s="14">
        <v>1</v>
      </c>
      <c r="C77" s="14">
        <v>5</v>
      </c>
      <c r="D77" s="14" t="s">
        <v>90</v>
      </c>
      <c r="E77" s="14">
        <v>2</v>
      </c>
      <c r="F77" s="14" t="s">
        <v>90</v>
      </c>
      <c r="G77" s="15" t="s">
        <v>90</v>
      </c>
      <c r="H77" s="15" t="s">
        <v>90</v>
      </c>
      <c r="I77" s="15">
        <v>1</v>
      </c>
      <c r="J77" s="15">
        <v>2</v>
      </c>
    </row>
    <row r="80" spans="2:10" ht="15.75" thickBot="1" x14ac:dyDescent="0.3"/>
    <row r="81" spans="2:10" x14ac:dyDescent="0.25">
      <c r="B81" s="13">
        <v>6</v>
      </c>
      <c r="C81" s="13">
        <v>1</v>
      </c>
      <c r="D81" s="14">
        <v>1</v>
      </c>
      <c r="E81" s="14">
        <v>1</v>
      </c>
      <c r="F81" s="14" t="s">
        <v>90</v>
      </c>
      <c r="G81" s="15" t="s">
        <v>90</v>
      </c>
      <c r="H81" s="15">
        <v>3</v>
      </c>
      <c r="I81" s="15">
        <v>1</v>
      </c>
      <c r="J81" s="15" t="s">
        <v>90</v>
      </c>
    </row>
    <row r="82" spans="2:10" x14ac:dyDescent="0.25">
      <c r="B82" s="14" t="s">
        <v>90</v>
      </c>
      <c r="C82" s="14">
        <v>5</v>
      </c>
      <c r="D82" s="14" t="s">
        <v>90</v>
      </c>
      <c r="E82" s="14">
        <v>1</v>
      </c>
      <c r="F82" s="14" t="s">
        <v>90</v>
      </c>
      <c r="G82" s="15" t="s">
        <v>90</v>
      </c>
      <c r="H82" s="15" t="s">
        <v>90</v>
      </c>
      <c r="I82" s="15" t="s">
        <v>90</v>
      </c>
      <c r="J82" s="15" t="s">
        <v>90</v>
      </c>
    </row>
    <row r="83" spans="2:10" x14ac:dyDescent="0.25">
      <c r="B83" s="14">
        <v>3</v>
      </c>
      <c r="C83" s="14" t="s">
        <v>90</v>
      </c>
      <c r="D83" s="14" t="s">
        <v>90</v>
      </c>
      <c r="E83" s="14">
        <v>1</v>
      </c>
      <c r="F83" s="14" t="s">
        <v>90</v>
      </c>
      <c r="G83" s="15" t="s">
        <v>90</v>
      </c>
      <c r="H83" s="15" t="s">
        <v>90</v>
      </c>
      <c r="I83" s="15" t="s">
        <v>90</v>
      </c>
      <c r="J83" s="15" t="s">
        <v>90</v>
      </c>
    </row>
    <row r="84" spans="2:10" x14ac:dyDescent="0.25">
      <c r="B84" s="14" t="s">
        <v>90</v>
      </c>
      <c r="C84" s="14">
        <v>4</v>
      </c>
      <c r="D84" s="14" t="s">
        <v>90</v>
      </c>
      <c r="E84" s="14">
        <v>1</v>
      </c>
      <c r="F84" s="14" t="s">
        <v>90</v>
      </c>
      <c r="G84" s="15" t="s">
        <v>90</v>
      </c>
      <c r="H84" s="15" t="s">
        <v>90</v>
      </c>
      <c r="I84" s="15">
        <v>1</v>
      </c>
      <c r="J84" s="15" t="s">
        <v>90</v>
      </c>
    </row>
    <row r="85" spans="2:10" x14ac:dyDescent="0.25">
      <c r="B85" s="14" t="s">
        <v>90</v>
      </c>
      <c r="C85" s="14">
        <v>14</v>
      </c>
      <c r="D85" s="14">
        <v>5</v>
      </c>
      <c r="E85" s="14">
        <v>1</v>
      </c>
      <c r="F85" s="14" t="s">
        <v>90</v>
      </c>
      <c r="G85" s="15" t="s">
        <v>90</v>
      </c>
      <c r="H85" s="15">
        <v>1</v>
      </c>
      <c r="I85" s="15">
        <v>1</v>
      </c>
      <c r="J85" s="15">
        <v>2</v>
      </c>
    </row>
    <row r="86" spans="2:10" x14ac:dyDescent="0.25">
      <c r="B86" s="14">
        <v>8</v>
      </c>
      <c r="C86" s="14" t="s">
        <v>90</v>
      </c>
      <c r="D86" s="14">
        <v>1</v>
      </c>
      <c r="E86" s="14">
        <v>1</v>
      </c>
      <c r="F86" s="14" t="s">
        <v>90</v>
      </c>
      <c r="G86" s="15" t="s">
        <v>90</v>
      </c>
      <c r="H86" s="15" t="s">
        <v>90</v>
      </c>
      <c r="I86" s="15">
        <v>1</v>
      </c>
      <c r="J86" s="15" t="s">
        <v>90</v>
      </c>
    </row>
    <row r="87" spans="2:10" x14ac:dyDescent="0.25">
      <c r="B87">
        <f>SUM(B81:B86)</f>
        <v>17</v>
      </c>
      <c r="C87">
        <f t="shared" ref="C87:J87" si="12">SUM(C81:C86)</f>
        <v>24</v>
      </c>
      <c r="D87">
        <f t="shared" si="12"/>
        <v>7</v>
      </c>
      <c r="E87">
        <f t="shared" si="12"/>
        <v>6</v>
      </c>
      <c r="F87">
        <f t="shared" si="12"/>
        <v>0</v>
      </c>
      <c r="G87">
        <f t="shared" si="12"/>
        <v>0</v>
      </c>
      <c r="H87">
        <f t="shared" si="12"/>
        <v>4</v>
      </c>
      <c r="I87">
        <f t="shared" si="12"/>
        <v>4</v>
      </c>
      <c r="J87">
        <f t="shared" si="12"/>
        <v>2</v>
      </c>
    </row>
    <row r="88" spans="2:10" ht="15.75" thickBot="1" x14ac:dyDescent="0.3"/>
    <row r="89" spans="2:10" x14ac:dyDescent="0.25">
      <c r="B89" s="13">
        <v>2</v>
      </c>
      <c r="C89" s="13">
        <v>4</v>
      </c>
      <c r="D89" s="14" t="s">
        <v>90</v>
      </c>
      <c r="E89" s="14">
        <v>1</v>
      </c>
      <c r="F89" s="14" t="s">
        <v>90</v>
      </c>
      <c r="G89" s="15" t="s">
        <v>90</v>
      </c>
      <c r="H89" s="15">
        <v>1</v>
      </c>
      <c r="I89" s="15" t="s">
        <v>90</v>
      </c>
      <c r="J89" s="15">
        <v>1</v>
      </c>
    </row>
    <row r="90" spans="2:10" x14ac:dyDescent="0.25">
      <c r="B90" s="14" t="s">
        <v>90</v>
      </c>
      <c r="C90" s="14">
        <v>4</v>
      </c>
      <c r="D90" s="14" t="s">
        <v>90</v>
      </c>
      <c r="E90" s="14">
        <v>1</v>
      </c>
      <c r="F90" s="14" t="s">
        <v>90</v>
      </c>
      <c r="G90" s="15" t="s">
        <v>90</v>
      </c>
      <c r="H90" s="15" t="s">
        <v>90</v>
      </c>
      <c r="I90" s="15">
        <v>1</v>
      </c>
      <c r="J90" s="15" t="s">
        <v>90</v>
      </c>
    </row>
    <row r="91" spans="2:10" x14ac:dyDescent="0.25">
      <c r="B91" s="14" t="s">
        <v>90</v>
      </c>
      <c r="C91" s="14">
        <v>2</v>
      </c>
      <c r="D91" s="14" t="s">
        <v>90</v>
      </c>
      <c r="E91" s="14" t="s">
        <v>90</v>
      </c>
      <c r="F91" s="14" t="s">
        <v>90</v>
      </c>
      <c r="G91" s="15">
        <v>1</v>
      </c>
      <c r="H91" s="15" t="s">
        <v>90</v>
      </c>
      <c r="I91" s="15">
        <v>1</v>
      </c>
      <c r="J91" s="15" t="s">
        <v>90</v>
      </c>
    </row>
    <row r="92" spans="2:10" x14ac:dyDescent="0.25">
      <c r="B92" s="14" t="s">
        <v>90</v>
      </c>
      <c r="C92" s="14">
        <v>5</v>
      </c>
      <c r="D92" s="14" t="s">
        <v>90</v>
      </c>
      <c r="E92" s="14">
        <v>1</v>
      </c>
      <c r="F92" s="14" t="s">
        <v>90</v>
      </c>
      <c r="G92" s="15" t="s">
        <v>90</v>
      </c>
      <c r="H92" s="15" t="s">
        <v>90</v>
      </c>
      <c r="I92" s="15">
        <v>1</v>
      </c>
      <c r="J92" s="15" t="s">
        <v>90</v>
      </c>
    </row>
    <row r="93" spans="2:10" x14ac:dyDescent="0.25">
      <c r="B93" s="14">
        <v>1</v>
      </c>
      <c r="C93" s="14">
        <v>10</v>
      </c>
      <c r="D93" s="14">
        <v>1</v>
      </c>
      <c r="E93" s="14">
        <v>1</v>
      </c>
      <c r="F93" s="14">
        <v>1</v>
      </c>
      <c r="G93" s="15" t="s">
        <v>90</v>
      </c>
      <c r="H93" s="15">
        <v>11</v>
      </c>
      <c r="I93" s="15">
        <v>1</v>
      </c>
      <c r="J93" s="15">
        <v>4</v>
      </c>
    </row>
    <row r="94" spans="2:10" x14ac:dyDescent="0.25">
      <c r="B94" s="14" t="s">
        <v>90</v>
      </c>
      <c r="C94" s="14">
        <v>3</v>
      </c>
      <c r="D94" s="14" t="s">
        <v>90</v>
      </c>
      <c r="E94" s="14" t="s">
        <v>90</v>
      </c>
      <c r="F94" s="14" t="s">
        <v>90</v>
      </c>
      <c r="G94" s="15">
        <v>1</v>
      </c>
      <c r="H94" s="15" t="s">
        <v>90</v>
      </c>
      <c r="I94" s="15">
        <v>1</v>
      </c>
      <c r="J94" s="15" t="s">
        <v>90</v>
      </c>
    </row>
    <row r="95" spans="2:10" x14ac:dyDescent="0.25">
      <c r="B95">
        <f>SUM(B89:B94)</f>
        <v>3</v>
      </c>
      <c r="C95">
        <f t="shared" ref="C95:J95" si="13">SUM(C89:C94)</f>
        <v>28</v>
      </c>
      <c r="D95">
        <f t="shared" si="13"/>
        <v>1</v>
      </c>
      <c r="E95">
        <f t="shared" si="13"/>
        <v>4</v>
      </c>
      <c r="F95">
        <f t="shared" si="13"/>
        <v>1</v>
      </c>
      <c r="G95">
        <f t="shared" si="13"/>
        <v>2</v>
      </c>
      <c r="H95">
        <f t="shared" si="13"/>
        <v>12</v>
      </c>
      <c r="I95">
        <f t="shared" si="13"/>
        <v>5</v>
      </c>
      <c r="J95">
        <f t="shared" si="13"/>
        <v>5</v>
      </c>
    </row>
  </sheetData>
  <mergeCells count="57">
    <mergeCell ref="K36:L36"/>
    <mergeCell ref="G36:H36"/>
    <mergeCell ref="I36:J36"/>
    <mergeCell ref="H25:H26"/>
    <mergeCell ref="I25:I26"/>
    <mergeCell ref="J25:J26"/>
    <mergeCell ref="K25:K26"/>
    <mergeCell ref="L25:L26"/>
    <mergeCell ref="D22:E22"/>
    <mergeCell ref="F22:G22"/>
    <mergeCell ref="H22:I22"/>
    <mergeCell ref="J22:K22"/>
    <mergeCell ref="B25:B26"/>
    <mergeCell ref="G25:G26"/>
    <mergeCell ref="B17:C17"/>
    <mergeCell ref="B18:C18"/>
    <mergeCell ref="B19:C19"/>
    <mergeCell ref="B20:C20"/>
    <mergeCell ref="B21:C21"/>
    <mergeCell ref="B22:C22"/>
    <mergeCell ref="F15:F16"/>
    <mergeCell ref="G15:G16"/>
    <mergeCell ref="H15:H16"/>
    <mergeCell ref="I15:I16"/>
    <mergeCell ref="J15:J16"/>
    <mergeCell ref="K15:K16"/>
    <mergeCell ref="B13:C13"/>
    <mergeCell ref="D13:E13"/>
    <mergeCell ref="A15:A16"/>
    <mergeCell ref="B15:B16"/>
    <mergeCell ref="C15:D15"/>
    <mergeCell ref="C16:D16"/>
    <mergeCell ref="E15:E16"/>
    <mergeCell ref="B10:C10"/>
    <mergeCell ref="D10:E10"/>
    <mergeCell ref="B11:C11"/>
    <mergeCell ref="D11:E11"/>
    <mergeCell ref="B12:C12"/>
    <mergeCell ref="D12:E12"/>
    <mergeCell ref="B7:C7"/>
    <mergeCell ref="D7:E7"/>
    <mergeCell ref="B8:C8"/>
    <mergeCell ref="D8:E8"/>
    <mergeCell ref="B9:C9"/>
    <mergeCell ref="D9:E9"/>
    <mergeCell ref="B4:C4"/>
    <mergeCell ref="D4:E4"/>
    <mergeCell ref="B5:C5"/>
    <mergeCell ref="D5:E5"/>
    <mergeCell ref="B6:C6"/>
    <mergeCell ref="D6:E6"/>
    <mergeCell ref="C1:D1"/>
    <mergeCell ref="E1:F1"/>
    <mergeCell ref="B2:C2"/>
    <mergeCell ref="D2:E2"/>
    <mergeCell ref="B3:C3"/>
    <mergeCell ref="D3:E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138C-3E94-4C06-8739-90102181A183}">
  <dimension ref="A1:J79"/>
  <sheetViews>
    <sheetView tabSelected="1" topLeftCell="A66" workbookViewId="0">
      <selection activeCell="B2" sqref="A2:J79"/>
    </sheetView>
  </sheetViews>
  <sheetFormatPr defaultRowHeight="15" x14ac:dyDescent="0.25"/>
  <sheetData>
    <row r="1" spans="1:10" ht="25.5" customHeight="1" thickBot="1" x14ac:dyDescent="0.3">
      <c r="A1" s="32"/>
      <c r="B1" s="34"/>
      <c r="C1" s="36" t="s">
        <v>95</v>
      </c>
      <c r="D1" s="36" t="s">
        <v>97</v>
      </c>
      <c r="E1" s="36" t="s">
        <v>99</v>
      </c>
      <c r="F1" s="36" t="s">
        <v>101</v>
      </c>
      <c r="G1" s="74" t="s">
        <v>103</v>
      </c>
      <c r="H1" s="74" t="s">
        <v>104</v>
      </c>
      <c r="I1" s="74" t="s">
        <v>105</v>
      </c>
      <c r="J1" s="74" t="s">
        <v>106</v>
      </c>
    </row>
    <row r="2" spans="1:10" ht="38.25" x14ac:dyDescent="0.25">
      <c r="A2" s="33" t="s">
        <v>80</v>
      </c>
      <c r="B2" s="35" t="s">
        <v>94</v>
      </c>
      <c r="C2" s="35" t="s">
        <v>96</v>
      </c>
      <c r="D2" s="35" t="s">
        <v>98</v>
      </c>
      <c r="E2" s="35" t="s">
        <v>100</v>
      </c>
      <c r="F2" s="35" t="s">
        <v>102</v>
      </c>
      <c r="G2" s="74" t="s">
        <v>103</v>
      </c>
      <c r="H2" s="74" t="s">
        <v>104</v>
      </c>
      <c r="I2" s="74" t="s">
        <v>105</v>
      </c>
      <c r="J2" s="74" t="s">
        <v>106</v>
      </c>
    </row>
    <row r="3" spans="1:10" ht="25.5" x14ac:dyDescent="0.25">
      <c r="A3" s="37" t="s">
        <v>107</v>
      </c>
      <c r="B3" s="38">
        <v>16220</v>
      </c>
      <c r="C3" s="37">
        <v>5</v>
      </c>
      <c r="D3" s="37">
        <v>0</v>
      </c>
      <c r="E3" s="37">
        <v>40</v>
      </c>
      <c r="F3" s="37">
        <v>1</v>
      </c>
      <c r="G3" s="38">
        <v>16220</v>
      </c>
      <c r="H3" s="39">
        <v>1</v>
      </c>
      <c r="I3" s="38">
        <v>16220</v>
      </c>
      <c r="J3" s="39">
        <v>1</v>
      </c>
    </row>
    <row r="4" spans="1:10" ht="25.5" x14ac:dyDescent="0.25">
      <c r="A4" s="37" t="s">
        <v>108</v>
      </c>
      <c r="B4" s="38">
        <v>11736</v>
      </c>
      <c r="C4" s="37">
        <v>3</v>
      </c>
      <c r="D4" s="37">
        <v>0</v>
      </c>
      <c r="E4" s="37">
        <v>0</v>
      </c>
      <c r="F4" s="37">
        <v>0</v>
      </c>
      <c r="G4" s="38">
        <v>10350</v>
      </c>
      <c r="H4" s="39">
        <v>0.88190000000000002</v>
      </c>
      <c r="I4" s="38">
        <v>10350</v>
      </c>
      <c r="J4" s="39">
        <v>0.88190000000000002</v>
      </c>
    </row>
    <row r="5" spans="1:10" x14ac:dyDescent="0.25">
      <c r="A5" s="37" t="s">
        <v>109</v>
      </c>
      <c r="B5" s="38">
        <v>13956</v>
      </c>
      <c r="C5" s="37">
        <v>6</v>
      </c>
      <c r="D5" s="37">
        <v>0</v>
      </c>
      <c r="E5" s="37">
        <v>0</v>
      </c>
      <c r="F5" s="37">
        <v>0</v>
      </c>
      <c r="G5" s="38">
        <v>13956</v>
      </c>
      <c r="H5" s="39">
        <v>1</v>
      </c>
      <c r="I5" s="38">
        <v>13956</v>
      </c>
      <c r="J5" s="39">
        <v>1</v>
      </c>
    </row>
    <row r="6" spans="1:10" x14ac:dyDescent="0.25">
      <c r="A6" s="37" t="s">
        <v>110</v>
      </c>
      <c r="B6" s="38">
        <v>21477</v>
      </c>
      <c r="C6" s="37">
        <v>8</v>
      </c>
      <c r="D6" s="37">
        <v>0</v>
      </c>
      <c r="E6" s="37">
        <v>0</v>
      </c>
      <c r="F6" s="37">
        <v>0</v>
      </c>
      <c r="G6" s="38">
        <v>21477</v>
      </c>
      <c r="H6" s="39">
        <v>1</v>
      </c>
      <c r="I6" s="38">
        <v>21477</v>
      </c>
      <c r="J6" s="39">
        <v>1</v>
      </c>
    </row>
    <row r="7" spans="1:10" x14ac:dyDescent="0.25">
      <c r="A7" s="37" t="s">
        <v>111</v>
      </c>
      <c r="B7" s="38">
        <v>22359</v>
      </c>
      <c r="C7" s="37">
        <v>9</v>
      </c>
      <c r="D7" s="37">
        <v>0</v>
      </c>
      <c r="E7" s="37">
        <v>0</v>
      </c>
      <c r="F7" s="37">
        <v>0</v>
      </c>
      <c r="G7" s="38">
        <v>22359</v>
      </c>
      <c r="H7" s="39">
        <v>1</v>
      </c>
      <c r="I7" s="38">
        <v>22359</v>
      </c>
      <c r="J7" s="39">
        <v>1</v>
      </c>
    </row>
    <row r="8" spans="1:10" ht="38.25" x14ac:dyDescent="0.25">
      <c r="A8" s="40" t="s">
        <v>112</v>
      </c>
      <c r="B8" s="41">
        <v>20398</v>
      </c>
      <c r="C8" s="40">
        <v>3</v>
      </c>
      <c r="D8" s="40">
        <v>0</v>
      </c>
      <c r="E8" s="40">
        <v>40</v>
      </c>
      <c r="F8" s="40">
        <v>1</v>
      </c>
      <c r="G8" s="41">
        <v>10350</v>
      </c>
      <c r="H8" s="42">
        <v>0.50739999999999996</v>
      </c>
      <c r="I8" s="41">
        <v>13350</v>
      </c>
      <c r="J8" s="43">
        <v>0.65439999999999998</v>
      </c>
    </row>
    <row r="9" spans="1:10" ht="25.5" x14ac:dyDescent="0.25">
      <c r="A9" s="37" t="s">
        <v>113</v>
      </c>
      <c r="B9" s="38">
        <v>40290</v>
      </c>
      <c r="C9" s="37">
        <v>13</v>
      </c>
      <c r="D9" s="37">
        <v>0</v>
      </c>
      <c r="E9" s="37">
        <v>0</v>
      </c>
      <c r="F9" s="37">
        <v>0</v>
      </c>
      <c r="G9" s="38">
        <v>40290</v>
      </c>
      <c r="H9" s="39">
        <v>1</v>
      </c>
      <c r="I9" s="38">
        <v>40290</v>
      </c>
      <c r="J9" s="39">
        <v>1</v>
      </c>
    </row>
    <row r="10" spans="1:10" ht="25.5" x14ac:dyDescent="0.25">
      <c r="A10" s="37" t="s">
        <v>114</v>
      </c>
      <c r="B10" s="38">
        <v>27638</v>
      </c>
      <c r="C10" s="37">
        <v>5</v>
      </c>
      <c r="D10" s="37">
        <v>0</v>
      </c>
      <c r="E10" s="37">
        <v>40</v>
      </c>
      <c r="F10" s="37">
        <v>1</v>
      </c>
      <c r="G10" s="38">
        <v>17250</v>
      </c>
      <c r="H10" s="39">
        <v>0.62409999999999999</v>
      </c>
      <c r="I10" s="38">
        <v>20250</v>
      </c>
      <c r="J10" s="39">
        <v>0.73260000000000003</v>
      </c>
    </row>
    <row r="11" spans="1:10" ht="25.5" x14ac:dyDescent="0.25">
      <c r="A11" s="37" t="s">
        <v>115</v>
      </c>
      <c r="B11" s="38">
        <v>32483</v>
      </c>
      <c r="C11" s="37">
        <v>9</v>
      </c>
      <c r="D11" s="37">
        <v>0</v>
      </c>
      <c r="E11" s="37">
        <v>40</v>
      </c>
      <c r="F11" s="37">
        <v>1</v>
      </c>
      <c r="G11" s="38">
        <v>31050</v>
      </c>
      <c r="H11" s="39">
        <v>0.95579999999999998</v>
      </c>
      <c r="I11" s="38">
        <v>32483</v>
      </c>
      <c r="J11" s="39">
        <v>1</v>
      </c>
    </row>
    <row r="12" spans="1:10" ht="51" x14ac:dyDescent="0.25">
      <c r="A12" s="44" t="s">
        <v>116</v>
      </c>
      <c r="B12" s="45">
        <v>43935</v>
      </c>
      <c r="C12" s="44">
        <v>5</v>
      </c>
      <c r="D12" s="44">
        <v>0</v>
      </c>
      <c r="E12" s="44">
        <v>120</v>
      </c>
      <c r="F12" s="44">
        <v>3</v>
      </c>
      <c r="G12" s="45">
        <v>17250</v>
      </c>
      <c r="H12" s="43">
        <v>0.3926</v>
      </c>
      <c r="I12" s="45">
        <v>26250</v>
      </c>
      <c r="J12" s="43">
        <v>0.59740000000000004</v>
      </c>
    </row>
    <row r="13" spans="1:10" x14ac:dyDescent="0.25">
      <c r="A13" s="44" t="s">
        <v>117</v>
      </c>
      <c r="B13" s="45">
        <v>20093</v>
      </c>
      <c r="C13" s="44">
        <v>3</v>
      </c>
      <c r="D13" s="44">
        <v>0</v>
      </c>
      <c r="E13" s="44">
        <v>0</v>
      </c>
      <c r="F13" s="44">
        <v>0</v>
      </c>
      <c r="G13" s="45">
        <v>10350</v>
      </c>
      <c r="H13" s="43">
        <v>0.5151</v>
      </c>
      <c r="I13" s="45">
        <v>10350</v>
      </c>
      <c r="J13" s="43">
        <v>0.5151</v>
      </c>
    </row>
    <row r="14" spans="1:10" x14ac:dyDescent="0.25">
      <c r="A14" s="46"/>
    </row>
    <row r="15" spans="1:10" ht="25.5" customHeight="1" x14ac:dyDescent="0.25">
      <c r="A15" s="62" t="s">
        <v>118</v>
      </c>
      <c r="B15" s="62"/>
      <c r="C15" s="37">
        <v>4</v>
      </c>
      <c r="D15" s="37">
        <v>0</v>
      </c>
      <c r="E15" s="37">
        <v>0</v>
      </c>
      <c r="F15" s="37">
        <v>0</v>
      </c>
      <c r="G15" s="38">
        <v>13800</v>
      </c>
      <c r="H15" s="39">
        <v>0.70309999999999995</v>
      </c>
      <c r="I15" s="38">
        <v>13800</v>
      </c>
      <c r="J15" s="39">
        <v>0.70309999999999995</v>
      </c>
    </row>
    <row r="16" spans="1:10" x14ac:dyDescent="0.25">
      <c r="A16" s="62" t="s">
        <v>119</v>
      </c>
      <c r="B16" s="62"/>
      <c r="C16" s="47"/>
      <c r="D16" s="47"/>
      <c r="E16" s="47"/>
      <c r="F16" s="47"/>
      <c r="G16" s="47"/>
      <c r="H16" s="47"/>
      <c r="I16" s="47"/>
      <c r="J16" s="47"/>
    </row>
    <row r="17" spans="1:10" ht="25.5" customHeight="1" x14ac:dyDescent="0.25">
      <c r="A17" s="62" t="s">
        <v>120</v>
      </c>
      <c r="B17" s="62"/>
      <c r="C17" s="37">
        <v>8</v>
      </c>
      <c r="D17" s="37">
        <v>0</v>
      </c>
      <c r="E17" s="37">
        <v>40</v>
      </c>
      <c r="F17" s="37">
        <v>1</v>
      </c>
      <c r="G17" s="38">
        <v>27600</v>
      </c>
      <c r="H17" s="39">
        <v>0.79679999999999995</v>
      </c>
      <c r="I17" s="38">
        <v>30600</v>
      </c>
      <c r="J17" s="39">
        <v>0.88339999999999996</v>
      </c>
    </row>
    <row r="18" spans="1:10" x14ac:dyDescent="0.25">
      <c r="A18" s="62" t="s">
        <v>121</v>
      </c>
      <c r="B18" s="62"/>
      <c r="C18" s="48"/>
      <c r="D18" s="48"/>
      <c r="E18" s="48"/>
      <c r="F18" s="48"/>
      <c r="G18" s="48"/>
      <c r="H18" s="48"/>
      <c r="I18" s="48"/>
      <c r="J18" s="48"/>
    </row>
    <row r="19" spans="1:10" x14ac:dyDescent="0.25">
      <c r="A19" s="62" t="s">
        <v>122</v>
      </c>
      <c r="B19" s="62"/>
      <c r="C19" s="37">
        <v>10</v>
      </c>
      <c r="D19" s="37">
        <v>0</v>
      </c>
      <c r="E19" s="37">
        <v>40</v>
      </c>
      <c r="F19" s="37">
        <v>1</v>
      </c>
      <c r="G19" s="38">
        <v>34500</v>
      </c>
      <c r="H19" s="39">
        <v>0.82630000000000003</v>
      </c>
      <c r="I19" s="38">
        <v>37500</v>
      </c>
      <c r="J19" s="39">
        <v>0.8982</v>
      </c>
    </row>
    <row r="20" spans="1:10" ht="25.5" customHeight="1" x14ac:dyDescent="0.25">
      <c r="A20" s="62" t="s">
        <v>123</v>
      </c>
      <c r="B20" s="62"/>
      <c r="C20" s="37">
        <v>5</v>
      </c>
      <c r="D20" s="37">
        <v>0</v>
      </c>
      <c r="E20" s="37">
        <v>0</v>
      </c>
      <c r="F20" s="37">
        <v>0</v>
      </c>
      <c r="G20" s="38">
        <v>13283</v>
      </c>
      <c r="H20" s="39">
        <v>1</v>
      </c>
      <c r="I20" s="38">
        <v>13283</v>
      </c>
      <c r="J20" s="39">
        <v>1</v>
      </c>
    </row>
    <row r="21" spans="1:10" x14ac:dyDescent="0.25">
      <c r="A21" s="62" t="s">
        <v>124</v>
      </c>
      <c r="B21" s="62"/>
      <c r="C21" s="48"/>
      <c r="D21" s="48"/>
      <c r="E21" s="48"/>
      <c r="F21" s="48"/>
      <c r="G21" s="48"/>
      <c r="H21" s="48"/>
      <c r="I21" s="48"/>
      <c r="J21" s="48"/>
    </row>
    <row r="22" spans="1:10" ht="25.5" x14ac:dyDescent="0.25">
      <c r="A22" s="40" t="s">
        <v>125</v>
      </c>
      <c r="B22" s="41">
        <v>15807</v>
      </c>
      <c r="C22" s="40">
        <v>3</v>
      </c>
      <c r="D22" s="40">
        <v>0</v>
      </c>
      <c r="E22" s="40">
        <v>0</v>
      </c>
      <c r="F22" s="40">
        <v>0</v>
      </c>
      <c r="G22" s="41">
        <v>10350</v>
      </c>
      <c r="H22" s="42">
        <v>0.65469999999999995</v>
      </c>
      <c r="I22" s="41">
        <v>10350</v>
      </c>
      <c r="J22" s="43">
        <v>0.65469999999999995</v>
      </c>
    </row>
    <row r="23" spans="1:10" ht="25.5" x14ac:dyDescent="0.25">
      <c r="A23" s="44" t="s">
        <v>126</v>
      </c>
      <c r="B23" s="45">
        <v>28508</v>
      </c>
      <c r="C23" s="44">
        <v>4</v>
      </c>
      <c r="D23" s="44">
        <v>0</v>
      </c>
      <c r="E23" s="44">
        <v>40</v>
      </c>
      <c r="F23" s="44">
        <v>1</v>
      </c>
      <c r="G23" s="45">
        <v>13800</v>
      </c>
      <c r="H23" s="43">
        <v>0.48399999999999999</v>
      </c>
      <c r="I23" s="45">
        <v>16800</v>
      </c>
      <c r="J23" s="43">
        <v>0.58930000000000005</v>
      </c>
    </row>
    <row r="24" spans="1:10" x14ac:dyDescent="0.25">
      <c r="A24" s="37" t="s">
        <v>127</v>
      </c>
      <c r="B24" s="38">
        <v>38348</v>
      </c>
      <c r="C24" s="37">
        <v>10</v>
      </c>
      <c r="D24" s="37">
        <v>0</v>
      </c>
      <c r="E24" s="37">
        <v>160</v>
      </c>
      <c r="F24" s="37">
        <v>4</v>
      </c>
      <c r="G24" s="38">
        <v>34500</v>
      </c>
      <c r="H24" s="39">
        <v>0.89959999999999996</v>
      </c>
      <c r="I24" s="38">
        <v>38348</v>
      </c>
      <c r="J24" s="39">
        <v>1</v>
      </c>
    </row>
    <row r="25" spans="1:10" ht="22.5" customHeight="1" x14ac:dyDescent="0.25">
      <c r="A25" s="63" t="s">
        <v>128</v>
      </c>
      <c r="B25" s="49"/>
      <c r="C25" s="49"/>
      <c r="D25" s="49"/>
      <c r="E25" s="49"/>
      <c r="F25" s="49"/>
      <c r="G25" s="49"/>
      <c r="H25" s="49"/>
      <c r="I25" s="49"/>
      <c r="J25" s="49"/>
    </row>
    <row r="26" spans="1:10" ht="15.75" thickBot="1" x14ac:dyDescent="0.3">
      <c r="A26" s="64"/>
      <c r="B26" s="50">
        <v>30846</v>
      </c>
      <c r="C26" s="51">
        <v>10</v>
      </c>
      <c r="D26" s="51">
        <v>0</v>
      </c>
      <c r="E26" s="51">
        <v>0</v>
      </c>
      <c r="F26" s="51">
        <v>0</v>
      </c>
      <c r="G26" s="50">
        <v>30846</v>
      </c>
      <c r="H26" s="52">
        <v>1</v>
      </c>
      <c r="I26" s="50">
        <v>30846</v>
      </c>
      <c r="J26" s="52">
        <v>1</v>
      </c>
    </row>
    <row r="27" spans="1:10" x14ac:dyDescent="0.25">
      <c r="A27" s="44" t="s">
        <v>129</v>
      </c>
      <c r="B27" s="45">
        <v>85910</v>
      </c>
      <c r="C27" s="44">
        <v>14</v>
      </c>
      <c r="D27" s="44">
        <v>0</v>
      </c>
      <c r="E27" s="44">
        <v>0</v>
      </c>
      <c r="F27" s="44">
        <v>0</v>
      </c>
      <c r="G27" s="45">
        <v>48300</v>
      </c>
      <c r="H27" s="43">
        <v>0.56220000000000003</v>
      </c>
      <c r="I27" s="45">
        <v>48300</v>
      </c>
      <c r="J27" s="43">
        <v>0.56220000000000003</v>
      </c>
    </row>
    <row r="28" spans="1:10" ht="25.5" x14ac:dyDescent="0.25">
      <c r="A28" s="37" t="s">
        <v>130</v>
      </c>
      <c r="B28" s="38">
        <v>29168</v>
      </c>
      <c r="C28" s="37">
        <v>8</v>
      </c>
      <c r="D28" s="37">
        <v>1</v>
      </c>
      <c r="E28" s="37">
        <v>0</v>
      </c>
      <c r="F28" s="37">
        <v>0</v>
      </c>
      <c r="G28" s="38">
        <v>27600</v>
      </c>
      <c r="H28" s="39">
        <v>0.94620000000000004</v>
      </c>
      <c r="I28" s="38">
        <v>29168</v>
      </c>
      <c r="J28" s="39">
        <v>1</v>
      </c>
    </row>
    <row r="29" spans="1:10" ht="25.5" x14ac:dyDescent="0.25">
      <c r="A29" s="37" t="s">
        <v>131</v>
      </c>
      <c r="B29" s="38">
        <v>35700</v>
      </c>
      <c r="C29" s="37">
        <v>9</v>
      </c>
      <c r="D29" s="37">
        <v>0</v>
      </c>
      <c r="E29" s="37">
        <v>0</v>
      </c>
      <c r="F29" s="37">
        <v>0</v>
      </c>
      <c r="G29" s="38">
        <v>31050</v>
      </c>
      <c r="H29" s="39">
        <v>0.86970000000000003</v>
      </c>
      <c r="I29" s="38">
        <v>31050</v>
      </c>
      <c r="J29" s="39">
        <v>0.86970000000000003</v>
      </c>
    </row>
    <row r="30" spans="1:10" x14ac:dyDescent="0.25">
      <c r="A30" s="37" t="s">
        <v>132</v>
      </c>
      <c r="B30" s="38">
        <v>20393</v>
      </c>
      <c r="C30" s="37">
        <v>6</v>
      </c>
      <c r="D30" s="37">
        <v>0</v>
      </c>
      <c r="E30" s="37">
        <v>80</v>
      </c>
      <c r="F30" s="37">
        <v>2</v>
      </c>
      <c r="G30" s="38">
        <v>20393</v>
      </c>
      <c r="H30" s="39">
        <v>1</v>
      </c>
      <c r="I30" s="53">
        <v>20393</v>
      </c>
      <c r="J30" s="54">
        <v>1</v>
      </c>
    </row>
    <row r="31" spans="1:10" x14ac:dyDescent="0.25">
      <c r="A31" s="37" t="s">
        <v>133</v>
      </c>
      <c r="B31" s="38">
        <v>17005</v>
      </c>
      <c r="C31" s="37">
        <v>12</v>
      </c>
      <c r="D31" s="37">
        <v>0</v>
      </c>
      <c r="E31" s="37">
        <v>0</v>
      </c>
      <c r="F31" s="37">
        <v>0</v>
      </c>
      <c r="G31" s="38">
        <v>17005</v>
      </c>
      <c r="H31" s="39">
        <v>1</v>
      </c>
      <c r="I31" s="53">
        <v>17005</v>
      </c>
      <c r="J31" s="55">
        <v>1</v>
      </c>
    </row>
    <row r="32" spans="1:10" x14ac:dyDescent="0.25">
      <c r="A32" s="37" t="s">
        <v>134</v>
      </c>
      <c r="B32" s="56"/>
      <c r="C32" s="56"/>
      <c r="D32" s="56"/>
      <c r="E32" s="56"/>
      <c r="F32" s="56"/>
      <c r="G32" s="56"/>
      <c r="H32" s="56"/>
      <c r="I32" s="57"/>
      <c r="J32" s="57"/>
    </row>
    <row r="33" spans="1:10" ht="25.5" x14ac:dyDescent="0.25">
      <c r="A33" s="37" t="s">
        <v>135</v>
      </c>
      <c r="B33" s="38">
        <v>16937</v>
      </c>
      <c r="C33" s="37">
        <v>7</v>
      </c>
      <c r="D33" s="37">
        <v>0</v>
      </c>
      <c r="E33" s="37">
        <v>0</v>
      </c>
      <c r="F33" s="37">
        <v>0</v>
      </c>
      <c r="G33" s="38">
        <v>16937</v>
      </c>
      <c r="H33" s="39">
        <v>1</v>
      </c>
      <c r="I33" s="53">
        <v>16937</v>
      </c>
      <c r="J33" s="54">
        <v>1</v>
      </c>
    </row>
    <row r="34" spans="1:10" ht="25.5" x14ac:dyDescent="0.25">
      <c r="A34" s="37" t="s">
        <v>136</v>
      </c>
      <c r="B34" s="38">
        <v>56144</v>
      </c>
      <c r="C34" s="37">
        <v>14</v>
      </c>
      <c r="D34" s="37">
        <v>0</v>
      </c>
      <c r="E34" s="37">
        <v>0</v>
      </c>
      <c r="F34" s="37">
        <v>0</v>
      </c>
      <c r="G34" s="38">
        <v>48300</v>
      </c>
      <c r="H34" s="39">
        <v>0.86019999999999996</v>
      </c>
      <c r="I34" s="38">
        <v>48300</v>
      </c>
      <c r="J34" s="39">
        <v>0.86019999999999996</v>
      </c>
    </row>
    <row r="35" spans="1:10" x14ac:dyDescent="0.25">
      <c r="A35" s="44" t="s">
        <v>137</v>
      </c>
      <c r="B35" s="45">
        <v>30436</v>
      </c>
      <c r="C35" s="44">
        <v>4</v>
      </c>
      <c r="D35" s="44">
        <v>0</v>
      </c>
      <c r="E35" s="44">
        <v>0</v>
      </c>
      <c r="F35" s="44">
        <v>0</v>
      </c>
      <c r="G35" s="45">
        <v>13800</v>
      </c>
      <c r="H35" s="43">
        <v>0.45340000000000003</v>
      </c>
      <c r="I35" s="45">
        <v>13800</v>
      </c>
      <c r="J35" s="43">
        <v>0.45340000000000003</v>
      </c>
    </row>
    <row r="36" spans="1:10" ht="25.5" x14ac:dyDescent="0.25">
      <c r="A36" s="37" t="s">
        <v>138</v>
      </c>
      <c r="B36" s="38">
        <v>49011</v>
      </c>
      <c r="C36" s="37">
        <v>23</v>
      </c>
      <c r="D36" s="37">
        <v>0</v>
      </c>
      <c r="E36" s="37">
        <v>200</v>
      </c>
      <c r="F36" s="37">
        <v>5</v>
      </c>
      <c r="G36" s="38">
        <v>49011</v>
      </c>
      <c r="H36" s="39">
        <v>1</v>
      </c>
      <c r="I36" s="38">
        <v>49011</v>
      </c>
      <c r="J36" s="39">
        <v>1</v>
      </c>
    </row>
    <row r="37" spans="1:10" ht="25.5" x14ac:dyDescent="0.25">
      <c r="A37" s="37" t="s">
        <v>139</v>
      </c>
      <c r="B37" s="38">
        <v>102701</v>
      </c>
      <c r="C37" s="37">
        <v>21</v>
      </c>
      <c r="D37" s="37">
        <v>1</v>
      </c>
      <c r="E37" s="37">
        <v>80</v>
      </c>
      <c r="F37" s="37">
        <v>2</v>
      </c>
      <c r="G37" s="38">
        <v>72450</v>
      </c>
      <c r="H37" s="39">
        <v>0.70540000000000003</v>
      </c>
      <c r="I37" s="38">
        <v>81038</v>
      </c>
      <c r="J37" s="39">
        <v>0.78900000000000003</v>
      </c>
    </row>
    <row r="38" spans="1:10" ht="25.5" x14ac:dyDescent="0.25">
      <c r="A38" s="37" t="s">
        <v>140</v>
      </c>
      <c r="B38" s="38">
        <v>7814</v>
      </c>
      <c r="C38" s="37">
        <v>4</v>
      </c>
      <c r="D38" s="37">
        <v>0</v>
      </c>
      <c r="E38" s="37">
        <v>0</v>
      </c>
      <c r="F38" s="37">
        <v>0</v>
      </c>
      <c r="G38" s="38">
        <v>7814</v>
      </c>
      <c r="H38" s="39">
        <v>1</v>
      </c>
      <c r="I38" s="38">
        <v>7814</v>
      </c>
      <c r="J38" s="39">
        <v>1</v>
      </c>
    </row>
    <row r="39" spans="1:10" ht="25.5" x14ac:dyDescent="0.25">
      <c r="A39" s="37" t="s">
        <v>141</v>
      </c>
      <c r="B39" s="38">
        <v>9230</v>
      </c>
      <c r="C39" s="37">
        <v>4</v>
      </c>
      <c r="D39" s="37">
        <v>0</v>
      </c>
      <c r="E39" s="37">
        <v>60</v>
      </c>
      <c r="F39" s="37">
        <v>2</v>
      </c>
      <c r="G39" s="38">
        <v>9230</v>
      </c>
      <c r="H39" s="39">
        <v>1</v>
      </c>
      <c r="I39" s="38">
        <v>9230</v>
      </c>
      <c r="J39" s="39">
        <v>1</v>
      </c>
    </row>
    <row r="40" spans="1:10" x14ac:dyDescent="0.25">
      <c r="A40" s="37" t="s">
        <v>142</v>
      </c>
      <c r="B40" s="38">
        <v>2251</v>
      </c>
      <c r="C40" s="37">
        <v>4</v>
      </c>
      <c r="D40" s="37">
        <v>0</v>
      </c>
      <c r="E40" s="37">
        <v>0</v>
      </c>
      <c r="F40" s="37">
        <v>0</v>
      </c>
      <c r="G40" s="38">
        <v>2251</v>
      </c>
      <c r="H40" s="39">
        <v>1</v>
      </c>
      <c r="I40" s="38">
        <v>2251</v>
      </c>
      <c r="J40" s="39">
        <v>1</v>
      </c>
    </row>
    <row r="41" spans="1:10" x14ac:dyDescent="0.25">
      <c r="A41" s="40" t="s">
        <v>143</v>
      </c>
      <c r="B41" s="41">
        <v>15106</v>
      </c>
      <c r="C41" s="40">
        <v>3</v>
      </c>
      <c r="D41" s="40">
        <v>0</v>
      </c>
      <c r="E41" s="40">
        <v>0</v>
      </c>
      <c r="F41" s="40">
        <v>0</v>
      </c>
      <c r="G41" s="41">
        <v>10350</v>
      </c>
      <c r="H41" s="42">
        <v>0.68510000000000004</v>
      </c>
      <c r="I41" s="41">
        <v>10350</v>
      </c>
      <c r="J41" s="43">
        <v>0.68510000000000004</v>
      </c>
    </row>
    <row r="42" spans="1:10" x14ac:dyDescent="0.25">
      <c r="A42" s="37" t="s">
        <v>144</v>
      </c>
      <c r="B42" s="38">
        <v>13886</v>
      </c>
      <c r="C42" s="37">
        <v>5</v>
      </c>
      <c r="D42" s="37">
        <v>0</v>
      </c>
      <c r="E42" s="37">
        <v>40</v>
      </c>
      <c r="F42" s="37">
        <v>1</v>
      </c>
      <c r="G42" s="38">
        <v>13886</v>
      </c>
      <c r="H42" s="39">
        <v>1</v>
      </c>
      <c r="I42" s="38">
        <v>13886</v>
      </c>
      <c r="J42" s="39">
        <v>1</v>
      </c>
    </row>
    <row r="43" spans="1:10" x14ac:dyDescent="0.25">
      <c r="A43" s="37" t="s">
        <v>145</v>
      </c>
      <c r="B43" s="38">
        <v>46882</v>
      </c>
      <c r="C43" s="37">
        <v>13</v>
      </c>
      <c r="D43" s="37">
        <v>0</v>
      </c>
      <c r="E43" s="37">
        <v>80</v>
      </c>
      <c r="F43" s="37">
        <v>2</v>
      </c>
      <c r="G43" s="38">
        <v>44850</v>
      </c>
      <c r="H43" s="39">
        <v>0.95660000000000001</v>
      </c>
      <c r="I43" s="38">
        <v>46882</v>
      </c>
      <c r="J43" s="39">
        <v>1</v>
      </c>
    </row>
    <row r="44" spans="1:10" ht="25.5" x14ac:dyDescent="0.25">
      <c r="A44" s="37" t="s">
        <v>146</v>
      </c>
      <c r="B44" s="38">
        <v>98502</v>
      </c>
      <c r="C44" s="37">
        <v>20</v>
      </c>
      <c r="D44" s="37">
        <v>0</v>
      </c>
      <c r="E44" s="37">
        <v>40</v>
      </c>
      <c r="F44" s="37">
        <v>1</v>
      </c>
      <c r="G44" s="38">
        <v>69000</v>
      </c>
      <c r="H44" s="39">
        <v>0.70040000000000002</v>
      </c>
      <c r="I44" s="38">
        <v>72000</v>
      </c>
      <c r="J44" s="39">
        <v>0.73089999999999999</v>
      </c>
    </row>
    <row r="45" spans="1:10" ht="25.5" x14ac:dyDescent="0.25">
      <c r="A45" s="44" t="s">
        <v>147</v>
      </c>
      <c r="B45" s="45">
        <v>33049</v>
      </c>
      <c r="C45" s="44">
        <v>2</v>
      </c>
      <c r="D45" s="44">
        <v>1</v>
      </c>
      <c r="E45" s="44">
        <v>40</v>
      </c>
      <c r="F45" s="44">
        <v>1</v>
      </c>
      <c r="G45" s="45">
        <v>6900</v>
      </c>
      <c r="H45" s="43">
        <v>0.2087</v>
      </c>
      <c r="I45" s="45">
        <v>11625</v>
      </c>
      <c r="J45" s="43">
        <v>0.35170000000000001</v>
      </c>
    </row>
    <row r="46" spans="1:10" x14ac:dyDescent="0.25">
      <c r="A46" s="44" t="s">
        <v>148</v>
      </c>
      <c r="B46" s="45">
        <v>2219580</v>
      </c>
      <c r="C46" s="44">
        <v>111</v>
      </c>
      <c r="D46" s="44">
        <v>48</v>
      </c>
      <c r="E46" s="44">
        <v>520</v>
      </c>
      <c r="F46" s="44">
        <v>13</v>
      </c>
      <c r="G46" s="45">
        <v>382950</v>
      </c>
      <c r="H46" s="43">
        <v>0.17249999999999999</v>
      </c>
      <c r="I46" s="45">
        <v>587550</v>
      </c>
      <c r="J46" s="43">
        <v>0.26469999999999999</v>
      </c>
    </row>
    <row r="47" spans="1:10" ht="25.5" x14ac:dyDescent="0.25">
      <c r="A47" s="37" t="s">
        <v>149</v>
      </c>
      <c r="B47" s="38">
        <v>56583</v>
      </c>
      <c r="C47" s="37">
        <v>18</v>
      </c>
      <c r="D47" s="37">
        <v>0</v>
      </c>
      <c r="E47" s="37">
        <v>0</v>
      </c>
      <c r="F47" s="37">
        <v>0</v>
      </c>
      <c r="G47" s="38">
        <v>56583</v>
      </c>
      <c r="H47" s="39">
        <v>1</v>
      </c>
      <c r="I47" s="38">
        <v>56583</v>
      </c>
      <c r="J47" s="39">
        <v>1</v>
      </c>
    </row>
    <row r="48" spans="1:10" x14ac:dyDescent="0.25">
      <c r="A48" s="37" t="s">
        <v>150</v>
      </c>
      <c r="B48" s="38">
        <v>18261</v>
      </c>
      <c r="C48" s="37">
        <v>5</v>
      </c>
      <c r="D48" s="37">
        <v>0</v>
      </c>
      <c r="E48" s="37">
        <v>60</v>
      </c>
      <c r="F48" s="37">
        <v>2</v>
      </c>
      <c r="G48" s="38">
        <v>17250</v>
      </c>
      <c r="H48" s="39">
        <v>0.9446</v>
      </c>
      <c r="I48" s="38">
        <v>18261</v>
      </c>
      <c r="J48" s="39">
        <v>1</v>
      </c>
    </row>
    <row r="49" spans="1:10" x14ac:dyDescent="0.25">
      <c r="A49" s="40" t="s">
        <v>151</v>
      </c>
      <c r="B49" s="41">
        <v>65040</v>
      </c>
      <c r="C49" s="40">
        <v>12</v>
      </c>
      <c r="D49" s="40">
        <v>0</v>
      </c>
      <c r="E49" s="40">
        <v>0</v>
      </c>
      <c r="F49" s="40">
        <v>0</v>
      </c>
      <c r="G49" s="41">
        <v>41400</v>
      </c>
      <c r="H49" s="42">
        <v>0.63649999999999995</v>
      </c>
      <c r="I49" s="41">
        <v>41400</v>
      </c>
      <c r="J49" s="43">
        <v>0.63649999999999995</v>
      </c>
    </row>
    <row r="50" spans="1:10" ht="25.5" x14ac:dyDescent="0.25">
      <c r="A50" s="37" t="s">
        <v>152</v>
      </c>
      <c r="B50" s="38">
        <v>21443</v>
      </c>
      <c r="C50" s="37">
        <v>8</v>
      </c>
      <c r="D50" s="37">
        <v>0</v>
      </c>
      <c r="E50" s="37">
        <v>0</v>
      </c>
      <c r="F50" s="37">
        <v>0</v>
      </c>
      <c r="G50" s="38">
        <v>21443</v>
      </c>
      <c r="H50" s="39">
        <v>1</v>
      </c>
      <c r="I50" s="38">
        <v>21443</v>
      </c>
      <c r="J50" s="39">
        <v>1</v>
      </c>
    </row>
    <row r="51" spans="1:10" ht="36" customHeight="1" x14ac:dyDescent="0.25">
      <c r="A51" s="63" t="s">
        <v>153</v>
      </c>
      <c r="B51" s="58"/>
      <c r="C51" s="58"/>
      <c r="D51" s="58"/>
      <c r="E51" s="58"/>
      <c r="F51" s="58"/>
      <c r="G51" s="58"/>
      <c r="H51" s="58"/>
      <c r="I51" s="58"/>
      <c r="J51" s="58"/>
    </row>
    <row r="52" spans="1:10" x14ac:dyDescent="0.25">
      <c r="A52" s="63"/>
      <c r="B52" s="59">
        <v>38026</v>
      </c>
      <c r="C52" s="60">
        <v>8</v>
      </c>
      <c r="D52" s="60">
        <v>1</v>
      </c>
      <c r="E52" s="60">
        <v>0</v>
      </c>
      <c r="F52" s="60">
        <v>0</v>
      </c>
      <c r="G52" s="59">
        <v>27600</v>
      </c>
      <c r="H52" s="61">
        <v>0.7258</v>
      </c>
      <c r="I52" s="59">
        <v>30188</v>
      </c>
      <c r="J52" s="61">
        <v>0.79379999999999995</v>
      </c>
    </row>
    <row r="53" spans="1:10" ht="25.5" x14ac:dyDescent="0.25">
      <c r="A53" s="37" t="s">
        <v>154</v>
      </c>
      <c r="B53" s="38">
        <v>19928</v>
      </c>
      <c r="C53" s="37">
        <v>5</v>
      </c>
      <c r="D53" s="37">
        <v>0</v>
      </c>
      <c r="E53" s="37">
        <v>0</v>
      </c>
      <c r="F53" s="37">
        <v>0</v>
      </c>
      <c r="G53" s="38">
        <v>17250</v>
      </c>
      <c r="H53" s="39">
        <v>0.86560000000000004</v>
      </c>
      <c r="I53" s="38">
        <v>17250</v>
      </c>
      <c r="J53" s="39">
        <v>0.86560000000000004</v>
      </c>
    </row>
    <row r="54" spans="1:10" x14ac:dyDescent="0.25">
      <c r="A54" s="46"/>
    </row>
    <row r="55" spans="1:10" ht="38.25" x14ac:dyDescent="0.25">
      <c r="A55" s="44" t="s">
        <v>155</v>
      </c>
      <c r="B55" s="45">
        <v>26046</v>
      </c>
      <c r="C55" s="44">
        <v>4</v>
      </c>
      <c r="D55" s="44">
        <v>0</v>
      </c>
      <c r="E55" s="44">
        <v>0</v>
      </c>
      <c r="F55" s="44">
        <v>0</v>
      </c>
      <c r="G55" s="45">
        <v>13800</v>
      </c>
      <c r="H55" s="43">
        <v>0.52980000000000005</v>
      </c>
      <c r="I55" s="45">
        <v>13800</v>
      </c>
      <c r="J55" s="43">
        <v>0.52980000000000005</v>
      </c>
    </row>
    <row r="56" spans="1:10" ht="25.5" x14ac:dyDescent="0.25">
      <c r="A56" s="37" t="s">
        <v>156</v>
      </c>
      <c r="B56" s="38">
        <v>115363</v>
      </c>
      <c r="C56" s="37">
        <v>21</v>
      </c>
      <c r="D56" s="37">
        <v>0</v>
      </c>
      <c r="E56" s="37">
        <v>190</v>
      </c>
      <c r="F56" s="37">
        <v>5</v>
      </c>
      <c r="G56" s="38">
        <v>72450</v>
      </c>
      <c r="H56" s="39">
        <v>0.628</v>
      </c>
      <c r="I56" s="38">
        <v>86700</v>
      </c>
      <c r="J56" s="39">
        <v>0.75149999999999995</v>
      </c>
    </row>
    <row r="57" spans="1:10" x14ac:dyDescent="0.25">
      <c r="A57" s="44" t="s">
        <v>157</v>
      </c>
      <c r="B57" s="45">
        <v>19522</v>
      </c>
      <c r="C57" s="44">
        <v>3</v>
      </c>
      <c r="D57" s="44">
        <v>0</v>
      </c>
      <c r="E57" s="44">
        <v>0</v>
      </c>
      <c r="F57" s="44">
        <v>0</v>
      </c>
      <c r="G57" s="45">
        <v>10350</v>
      </c>
      <c r="H57" s="43">
        <v>0.53010000000000002</v>
      </c>
      <c r="I57" s="45">
        <v>10350</v>
      </c>
      <c r="J57" s="43">
        <v>0.53010000000000002</v>
      </c>
    </row>
    <row r="58" spans="1:10" ht="36" customHeight="1" x14ac:dyDescent="0.25">
      <c r="A58" s="63" t="s">
        <v>158</v>
      </c>
      <c r="B58" s="65"/>
      <c r="C58" s="65"/>
      <c r="D58" s="65"/>
      <c r="E58" s="65"/>
      <c r="F58" s="65"/>
      <c r="G58" s="65"/>
      <c r="H58" s="65"/>
      <c r="I58" s="65"/>
      <c r="J58" s="65"/>
    </row>
    <row r="59" spans="1:10" x14ac:dyDescent="0.25">
      <c r="A59" s="63"/>
      <c r="B59" s="59">
        <v>37193</v>
      </c>
      <c r="C59" s="60">
        <v>13</v>
      </c>
      <c r="D59" s="60">
        <v>0</v>
      </c>
      <c r="E59" s="60">
        <v>80</v>
      </c>
      <c r="F59" s="60">
        <v>2</v>
      </c>
      <c r="G59" s="59">
        <v>37193</v>
      </c>
      <c r="H59" s="61">
        <v>1</v>
      </c>
      <c r="I59" s="59">
        <v>37193</v>
      </c>
      <c r="J59" s="61">
        <v>1</v>
      </c>
    </row>
    <row r="60" spans="1:10" ht="38.25" x14ac:dyDescent="0.25">
      <c r="A60" s="37" t="s">
        <v>159</v>
      </c>
      <c r="B60" s="38">
        <v>34106</v>
      </c>
      <c r="C60" s="37">
        <v>13</v>
      </c>
      <c r="D60" s="37">
        <v>0</v>
      </c>
      <c r="E60" s="37">
        <v>0</v>
      </c>
      <c r="F60" s="37">
        <v>0</v>
      </c>
      <c r="G60" s="38">
        <v>34106</v>
      </c>
      <c r="H60" s="39">
        <v>1</v>
      </c>
      <c r="I60" s="38">
        <v>34106</v>
      </c>
      <c r="J60" s="39">
        <v>1</v>
      </c>
    </row>
    <row r="61" spans="1:10" ht="36" customHeight="1" x14ac:dyDescent="0.25">
      <c r="A61" s="63" t="s">
        <v>160</v>
      </c>
      <c r="B61" s="58"/>
      <c r="C61" s="58"/>
      <c r="D61" s="58"/>
      <c r="E61" s="58"/>
      <c r="F61" s="58"/>
      <c r="G61" s="58"/>
      <c r="H61" s="58"/>
      <c r="I61" s="58"/>
      <c r="J61" s="58"/>
    </row>
    <row r="62" spans="1:10" x14ac:dyDescent="0.25">
      <c r="A62" s="63"/>
      <c r="B62" s="59">
        <v>25865</v>
      </c>
      <c r="C62" s="60">
        <v>5</v>
      </c>
      <c r="D62" s="60">
        <v>0</v>
      </c>
      <c r="E62" s="60">
        <v>40</v>
      </c>
      <c r="F62" s="60">
        <v>1</v>
      </c>
      <c r="G62" s="59">
        <v>17250</v>
      </c>
      <c r="H62" s="61">
        <v>0.66690000000000005</v>
      </c>
      <c r="I62" s="59">
        <v>20250</v>
      </c>
      <c r="J62" s="61">
        <v>0.78290000000000004</v>
      </c>
    </row>
    <row r="63" spans="1:10" ht="23.25" customHeight="1" x14ac:dyDescent="0.25">
      <c r="A63" s="63" t="s">
        <v>161</v>
      </c>
      <c r="B63" s="58"/>
      <c r="C63" s="58"/>
      <c r="D63" s="58"/>
      <c r="E63" s="58"/>
      <c r="F63" s="58"/>
      <c r="G63" s="58"/>
      <c r="H63" s="58"/>
      <c r="I63" s="58"/>
      <c r="J63" s="58"/>
    </row>
    <row r="64" spans="1:10" x14ac:dyDescent="0.25">
      <c r="A64" s="63"/>
      <c r="B64" s="59">
        <v>21243</v>
      </c>
      <c r="C64" s="60">
        <v>6</v>
      </c>
      <c r="D64" s="60">
        <v>2</v>
      </c>
      <c r="E64" s="60">
        <v>120</v>
      </c>
      <c r="F64" s="60">
        <v>3</v>
      </c>
      <c r="G64" s="59">
        <v>20700</v>
      </c>
      <c r="H64" s="61">
        <v>0.97440000000000004</v>
      </c>
      <c r="I64" s="59">
        <v>21243</v>
      </c>
      <c r="J64" s="61">
        <v>1</v>
      </c>
    </row>
    <row r="65" spans="1:10" ht="33.75" customHeight="1" x14ac:dyDescent="0.25">
      <c r="A65" s="63" t="s">
        <v>162</v>
      </c>
      <c r="B65" s="49"/>
      <c r="C65" s="49"/>
      <c r="D65" s="49"/>
      <c r="E65" s="49"/>
      <c r="F65" s="49"/>
      <c r="G65" s="49"/>
      <c r="H65" s="49"/>
      <c r="I65" s="49"/>
      <c r="J65" s="49"/>
    </row>
    <row r="66" spans="1:10" x14ac:dyDescent="0.25">
      <c r="A66" s="63"/>
      <c r="B66" s="66"/>
      <c r="C66" s="66"/>
      <c r="D66" s="66"/>
      <c r="E66" s="66"/>
      <c r="F66" s="66"/>
      <c r="G66" s="66"/>
      <c r="H66" s="66"/>
      <c r="I66" s="66"/>
      <c r="J66" s="66"/>
    </row>
    <row r="67" spans="1:10" x14ac:dyDescent="0.25">
      <c r="A67" s="63"/>
      <c r="B67" s="59">
        <v>46303</v>
      </c>
      <c r="C67" s="60">
        <v>7</v>
      </c>
      <c r="D67" s="60">
        <v>0</v>
      </c>
      <c r="E67" s="60">
        <v>120</v>
      </c>
      <c r="F67" s="60">
        <v>3</v>
      </c>
      <c r="G67" s="59">
        <v>24150</v>
      </c>
      <c r="H67" s="61">
        <v>0.52149999999999996</v>
      </c>
      <c r="I67" s="59">
        <v>33150</v>
      </c>
      <c r="J67" s="61">
        <v>0.71589999999999998</v>
      </c>
    </row>
    <row r="68" spans="1:10" ht="25.5" x14ac:dyDescent="0.25">
      <c r="A68" s="67" t="s">
        <v>163</v>
      </c>
      <c r="B68" s="68"/>
      <c r="C68" s="68"/>
      <c r="D68" s="68"/>
      <c r="E68" s="68"/>
      <c r="F68" s="68"/>
      <c r="G68" s="68"/>
      <c r="H68" s="68"/>
      <c r="I68" s="68"/>
      <c r="J68" s="72"/>
    </row>
    <row r="69" spans="1:10" ht="38.25" x14ac:dyDescent="0.25">
      <c r="A69" s="67" t="s">
        <v>164</v>
      </c>
      <c r="B69" s="69">
        <v>40073</v>
      </c>
      <c r="C69" s="70">
        <v>8</v>
      </c>
      <c r="D69" s="70">
        <v>0</v>
      </c>
      <c r="E69" s="70">
        <v>0</v>
      </c>
      <c r="F69" s="70">
        <v>0</v>
      </c>
      <c r="G69" s="69">
        <v>27600</v>
      </c>
      <c r="H69" s="71">
        <v>0.68869999999999998</v>
      </c>
      <c r="I69" s="69">
        <v>27600</v>
      </c>
      <c r="J69" s="73">
        <v>0.68869999999999998</v>
      </c>
    </row>
    <row r="70" spans="1:10" ht="36" customHeight="1" x14ac:dyDescent="0.25">
      <c r="A70" s="63" t="s">
        <v>165</v>
      </c>
      <c r="B70" s="65"/>
      <c r="C70" s="65"/>
      <c r="D70" s="65"/>
      <c r="E70" s="65"/>
      <c r="F70" s="65"/>
      <c r="G70" s="65"/>
      <c r="H70" s="65"/>
      <c r="I70" s="65"/>
      <c r="J70" s="65"/>
    </row>
    <row r="71" spans="1:10" x14ac:dyDescent="0.25">
      <c r="A71" s="63"/>
      <c r="B71" s="59">
        <v>14352</v>
      </c>
      <c r="C71" s="60">
        <v>5</v>
      </c>
      <c r="D71" s="60">
        <v>0</v>
      </c>
      <c r="E71" s="60">
        <v>0</v>
      </c>
      <c r="F71" s="60">
        <v>0</v>
      </c>
      <c r="G71" s="59">
        <v>14352</v>
      </c>
      <c r="H71" s="61">
        <v>1</v>
      </c>
      <c r="I71" s="59">
        <v>14352</v>
      </c>
      <c r="J71" s="61">
        <v>1</v>
      </c>
    </row>
    <row r="72" spans="1:10" x14ac:dyDescent="0.25">
      <c r="A72" s="37" t="s">
        <v>166</v>
      </c>
      <c r="B72" s="38">
        <v>9230</v>
      </c>
      <c r="C72" s="37">
        <v>5</v>
      </c>
      <c r="D72" s="37">
        <v>0</v>
      </c>
      <c r="E72" s="37">
        <v>0</v>
      </c>
      <c r="F72" s="37">
        <v>0</v>
      </c>
      <c r="G72" s="38">
        <v>9230</v>
      </c>
      <c r="H72" s="39">
        <v>1</v>
      </c>
      <c r="I72" s="38">
        <v>9230</v>
      </c>
      <c r="J72" s="39">
        <v>1</v>
      </c>
    </row>
    <row r="73" spans="1:10" ht="25.5" x14ac:dyDescent="0.25">
      <c r="A73" s="40" t="s">
        <v>167</v>
      </c>
      <c r="B73" s="41">
        <v>67182</v>
      </c>
      <c r="C73" s="40">
        <v>13</v>
      </c>
      <c r="D73" s="40">
        <v>0</v>
      </c>
      <c r="E73" s="40">
        <v>0</v>
      </c>
      <c r="F73" s="40">
        <v>0</v>
      </c>
      <c r="G73" s="41">
        <v>44850</v>
      </c>
      <c r="H73" s="42">
        <v>0.66749999999999998</v>
      </c>
      <c r="I73" s="41">
        <v>44850</v>
      </c>
      <c r="J73" s="43">
        <v>0.66749999999999998</v>
      </c>
    </row>
    <row r="74" spans="1:10" x14ac:dyDescent="0.25">
      <c r="A74" s="37" t="s">
        <v>168</v>
      </c>
      <c r="B74" s="38">
        <v>17015</v>
      </c>
      <c r="C74" s="37">
        <v>7</v>
      </c>
      <c r="D74" s="37">
        <v>0</v>
      </c>
      <c r="E74" s="37">
        <v>40</v>
      </c>
      <c r="F74" s="37">
        <v>1</v>
      </c>
      <c r="G74" s="38">
        <v>17015</v>
      </c>
      <c r="H74" s="39">
        <v>1</v>
      </c>
      <c r="I74" s="38">
        <v>17015</v>
      </c>
      <c r="J74" s="39">
        <v>1</v>
      </c>
    </row>
    <row r="75" spans="1:10" x14ac:dyDescent="0.25">
      <c r="A75" s="37" t="s">
        <v>169</v>
      </c>
      <c r="B75" s="38">
        <v>59547</v>
      </c>
      <c r="C75" s="37">
        <v>20</v>
      </c>
      <c r="D75" s="37">
        <v>0</v>
      </c>
      <c r="E75" s="37">
        <v>40</v>
      </c>
      <c r="F75" s="37">
        <v>1</v>
      </c>
      <c r="G75" s="38">
        <v>59547</v>
      </c>
      <c r="H75" s="39">
        <v>1</v>
      </c>
      <c r="I75" s="38">
        <v>59547</v>
      </c>
      <c r="J75" s="39">
        <v>1</v>
      </c>
    </row>
    <row r="76" spans="1:10" ht="25.5" x14ac:dyDescent="0.25">
      <c r="A76" s="37" t="s">
        <v>170</v>
      </c>
      <c r="B76" s="38">
        <v>18897</v>
      </c>
      <c r="C76" s="37">
        <v>6</v>
      </c>
      <c r="D76" s="37">
        <v>0</v>
      </c>
      <c r="E76" s="37">
        <v>80</v>
      </c>
      <c r="F76" s="37">
        <v>2</v>
      </c>
      <c r="G76" s="38">
        <v>18897</v>
      </c>
      <c r="H76" s="39">
        <v>1</v>
      </c>
      <c r="I76" s="38">
        <v>18897</v>
      </c>
      <c r="J76" s="39">
        <v>1</v>
      </c>
    </row>
    <row r="77" spans="1:10" x14ac:dyDescent="0.25">
      <c r="A77" s="37" t="s">
        <v>171</v>
      </c>
      <c r="B77" s="38">
        <v>13690</v>
      </c>
      <c r="C77" s="37">
        <v>3</v>
      </c>
      <c r="D77" s="37">
        <v>0</v>
      </c>
      <c r="E77" s="37">
        <v>40</v>
      </c>
      <c r="F77" s="37">
        <v>1</v>
      </c>
      <c r="G77" s="38">
        <v>10350</v>
      </c>
      <c r="H77" s="39">
        <v>0.75600000000000001</v>
      </c>
      <c r="I77" s="38">
        <v>13350</v>
      </c>
      <c r="J77" s="39">
        <v>0.97509999999999997</v>
      </c>
    </row>
    <row r="78" spans="1:10" ht="25.5" x14ac:dyDescent="0.25">
      <c r="A78" s="37" t="s">
        <v>172</v>
      </c>
      <c r="B78" s="38">
        <v>16130</v>
      </c>
      <c r="C78" s="37">
        <v>6</v>
      </c>
      <c r="D78" s="37">
        <v>0</v>
      </c>
      <c r="E78" s="37">
        <v>160</v>
      </c>
      <c r="F78" s="37">
        <v>4</v>
      </c>
      <c r="G78" s="38">
        <v>16130</v>
      </c>
      <c r="H78" s="39">
        <v>1</v>
      </c>
      <c r="I78" s="38">
        <v>16130</v>
      </c>
      <c r="J78" s="39">
        <v>1</v>
      </c>
    </row>
    <row r="79" spans="1:10" ht="25.5" x14ac:dyDescent="0.25">
      <c r="A79" s="37" t="s">
        <v>173</v>
      </c>
      <c r="B79" s="38">
        <v>23585</v>
      </c>
      <c r="C79" s="37">
        <v>7</v>
      </c>
      <c r="D79" s="37">
        <v>0</v>
      </c>
      <c r="E79" s="37">
        <v>72</v>
      </c>
      <c r="F79" s="37">
        <v>2</v>
      </c>
      <c r="G79" s="38">
        <v>23585</v>
      </c>
      <c r="H79" s="39">
        <v>1</v>
      </c>
      <c r="I79" s="38">
        <v>23585</v>
      </c>
      <c r="J79" s="39">
        <v>1</v>
      </c>
    </row>
  </sheetData>
  <mergeCells count="14">
    <mergeCell ref="A51:A52"/>
    <mergeCell ref="A58:A59"/>
    <mergeCell ref="A61:A62"/>
    <mergeCell ref="A63:A64"/>
    <mergeCell ref="A65:A67"/>
    <mergeCell ref="A70:A71"/>
    <mergeCell ref="A17:B17"/>
    <mergeCell ref="A18:B18"/>
    <mergeCell ref="A19:B19"/>
    <mergeCell ref="A20:B20"/>
    <mergeCell ref="A21:B21"/>
    <mergeCell ref="A25:A26"/>
    <mergeCell ref="A15:B15"/>
    <mergeCell ref="A16:B16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707BD9-63A5-4EC3-805E-C75D8958C5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Microrregiao_Triângulo</vt:lpstr>
      <vt:lpstr>Microrregiao_Rio_Negro_e_Solimõ</vt:lpstr>
      <vt:lpstr>parte 1</vt:lpstr>
      <vt:lpstr>parte 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Nilza Ramos</dc:creator>
  <cp:lastModifiedBy>Maria Nilza Ramos</cp:lastModifiedBy>
  <dcterms:created xsi:type="dcterms:W3CDTF">2024-08-12T02:38:53Z</dcterms:created>
  <dcterms:modified xsi:type="dcterms:W3CDTF">2024-08-12T14:54:10Z</dcterms:modified>
</cp:coreProperties>
</file>